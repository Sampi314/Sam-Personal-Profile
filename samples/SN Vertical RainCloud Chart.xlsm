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mproduct0.sharepoint.com/sites/SumProductTeam/Shared Documents/General/Sam/Chart Development/Raincloud Chart/"/>
    </mc:Choice>
  </mc:AlternateContent>
  <xr:revisionPtr revIDLastSave="7" documentId="6_{E4A34CF4-E56C-4E47-BEB9-E6BD975D5002}" xr6:coauthVersionLast="47" xr6:coauthVersionMax="47" xr10:uidLastSave="{2FD9C4C8-1FC1-4B12-A347-5FC591BB9BCB}"/>
  <bookViews>
    <workbookView xWindow="28680" yWindow="-120" windowWidth="29040" windowHeight="15720" activeTab="5" xr2:uid="{00000000-000D-0000-FFFF-FFFF00000000}"/>
  </bookViews>
  <sheets>
    <sheet name="Cover" sheetId="1" r:id="rId1"/>
    <sheet name="Navigator" sheetId="3" r:id="rId2"/>
    <sheet name="Style Guide" sheetId="4" r:id="rId3"/>
    <sheet name="Model Parameters" sheetId="2" r:id="rId4"/>
    <sheet name="Timing" sheetId="6" r:id="rId5"/>
    <sheet name="Vertical Raincloud - 1 Cloud" sheetId="10" r:id="rId6"/>
    <sheet name="Vertical Raincloud - 3 Clouds" sheetId="11" r:id="rId7"/>
    <sheet name="Error Checks" sheetId="5" r:id="rId8"/>
    <sheet name="Change Log" sheetId="9" r:id="rId9"/>
  </sheets>
  <definedNames>
    <definedName name="Client_Name">'Model Parameters'!$G$12</definedName>
    <definedName name="Days_in_Year">'Model Parameters'!$G$19</definedName>
    <definedName name="Example_Reporting_Month">Timing!$H$19</definedName>
    <definedName name="HL_1">Cover!$A$3</definedName>
    <definedName name="HL_3">'Style Guide'!$A$3</definedName>
    <definedName name="HL_4">'Model Parameters'!$A$3</definedName>
    <definedName name="HL_5">Timing!$A$3</definedName>
    <definedName name="HL_6" localSheetId="6">'Vertical Raincloud - 3 Clouds'!$A$3</definedName>
    <definedName name="HL_6">'Vertical Raincloud - 1 Cloud'!$A$3</definedName>
    <definedName name="HL_7">'Vertical Raincloud - 3 Clouds'!$A$3</definedName>
    <definedName name="HL_8">'Error Checks'!$A$3</definedName>
    <definedName name="HL_9">'Change Log'!$A$3</definedName>
    <definedName name="HL_Model_Parameters">'Model Parameters'!$A$5</definedName>
    <definedName name="HL_Navigator">Navigator!$A$1</definedName>
    <definedName name="Model_Name">'Model Parameters'!$G$11</definedName>
    <definedName name="Model_Start_Date">Timing!$H$15</definedName>
    <definedName name="Months_in_Half_Yr">'Model Parameters'!$G$22</definedName>
    <definedName name="Months_in_Month">'Model Parameters'!$G$20</definedName>
    <definedName name="Months_in_Qtr">'Model Parameters'!$G$21</definedName>
    <definedName name="Months_in_Year">'Model Parameters'!$G$23</definedName>
    <definedName name="Overall_Error_Check">'Error Checks'!$I$17</definedName>
    <definedName name="Periodicity">Timing!$H$17</definedName>
    <definedName name="_xlnm.Print_Area" localSheetId="6">'Vertical Raincloud - 3 Clouds'!$A$1:$AM$69</definedName>
    <definedName name="Quarters_in_Year">'Model Parameters'!$G$24</definedName>
    <definedName name="Reporting_Month_Factor">Timing!$H$21</definedName>
    <definedName name="Rounding_Accuracy">'Model Parameters'!$G$26</definedName>
    <definedName name="solver_adj" localSheetId="5" hidden="1">'Vertical Raincloud - 1 Cloud'!#REF!</definedName>
    <definedName name="solver_adj" localSheetId="6" hidden="1">'Vertical Raincloud - 3 Clouds'!#REF!</definedName>
    <definedName name="solver_cvg" localSheetId="5" hidden="1">0.0001</definedName>
    <definedName name="solver_cvg" localSheetId="6" hidden="1">0.0001</definedName>
    <definedName name="solver_drv" localSheetId="5" hidden="1">1</definedName>
    <definedName name="solver_drv" localSheetId="6" hidden="1">1</definedName>
    <definedName name="solver_eng" localSheetId="5" hidden="1">1</definedName>
    <definedName name="solver_eng" localSheetId="6" hidden="1">1</definedName>
    <definedName name="solver_est" localSheetId="5" hidden="1">1</definedName>
    <definedName name="solver_est" localSheetId="6" hidden="1">1</definedName>
    <definedName name="solver_itr" localSheetId="5" hidden="1">2147483647</definedName>
    <definedName name="solver_itr" localSheetId="6" hidden="1">2147483647</definedName>
    <definedName name="solver_mip" localSheetId="5" hidden="1">2147483647</definedName>
    <definedName name="solver_mip" localSheetId="6" hidden="1">2147483647</definedName>
    <definedName name="solver_mni" localSheetId="5" hidden="1">30</definedName>
    <definedName name="solver_mni" localSheetId="6" hidden="1">30</definedName>
    <definedName name="solver_mrt" localSheetId="5" hidden="1">0.075</definedName>
    <definedName name="solver_mrt" localSheetId="6" hidden="1">0.075</definedName>
    <definedName name="solver_msl" localSheetId="5" hidden="1">2</definedName>
    <definedName name="solver_msl" localSheetId="6" hidden="1">2</definedName>
    <definedName name="solver_neg" localSheetId="5" hidden="1">1</definedName>
    <definedName name="solver_neg" localSheetId="6" hidden="1">1</definedName>
    <definedName name="solver_nod" localSheetId="5" hidden="1">2147483647</definedName>
    <definedName name="solver_nod" localSheetId="6" hidden="1">2147483647</definedName>
    <definedName name="solver_num" localSheetId="5" hidden="1">0</definedName>
    <definedName name="solver_num" localSheetId="6" hidden="1">0</definedName>
    <definedName name="solver_nwt" localSheetId="5" hidden="1">1</definedName>
    <definedName name="solver_nwt" localSheetId="6" hidden="1">1</definedName>
    <definedName name="solver_opt" localSheetId="5" hidden="1">'Vertical Raincloud - 1 Cloud'!#REF!</definedName>
    <definedName name="solver_opt" localSheetId="6" hidden="1">'Vertical Raincloud - 3 Clouds'!#REF!</definedName>
    <definedName name="solver_pre" localSheetId="5" hidden="1">0.000001</definedName>
    <definedName name="solver_pre" localSheetId="6" hidden="1">0.000001</definedName>
    <definedName name="solver_rbv" localSheetId="5" hidden="1">1</definedName>
    <definedName name="solver_rbv" localSheetId="6" hidden="1">1</definedName>
    <definedName name="solver_rlx" localSheetId="5" hidden="1">2</definedName>
    <definedName name="solver_rlx" localSheetId="6" hidden="1">2</definedName>
    <definedName name="solver_rsd" localSheetId="5" hidden="1">0</definedName>
    <definedName name="solver_rsd" localSheetId="6" hidden="1">0</definedName>
    <definedName name="solver_scl" localSheetId="5" hidden="1">1</definedName>
    <definedName name="solver_scl" localSheetId="6" hidden="1">1</definedName>
    <definedName name="solver_sho" localSheetId="5" hidden="1">2</definedName>
    <definedName name="solver_sho" localSheetId="6" hidden="1">2</definedName>
    <definedName name="solver_ssz" localSheetId="5" hidden="1">100</definedName>
    <definedName name="solver_ssz" localSheetId="6" hidden="1">100</definedName>
    <definedName name="solver_tim" localSheetId="5" hidden="1">2147483647</definedName>
    <definedName name="solver_tim" localSheetId="6" hidden="1">2147483647</definedName>
    <definedName name="solver_tol" localSheetId="5" hidden="1">0.01</definedName>
    <definedName name="solver_tol" localSheetId="6" hidden="1">0.01</definedName>
    <definedName name="solver_typ" localSheetId="5" hidden="1">3</definedName>
    <definedName name="solver_typ" localSheetId="6" hidden="1">3</definedName>
    <definedName name="solver_val" localSheetId="5" hidden="1">0</definedName>
    <definedName name="solver_val" localSheetId="6" hidden="1">0</definedName>
    <definedName name="solver_ver" localSheetId="5" hidden="1">3</definedName>
    <definedName name="solver_ver" localSheetId="6" hidden="1">3</definedName>
    <definedName name="Thousand">'Model Parameters'!$G$31</definedName>
    <definedName name="Very_Large_Number">'Model Parameters'!$G$28</definedName>
    <definedName name="Very_Small_Number">'Model Parameters'!$G$29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0" l="1"/>
  <c r="F10" i="10" s="1"/>
  <c r="G10" i="10"/>
  <c r="E11" i="10"/>
  <c r="F11" i="10" s="1"/>
  <c r="G11" i="10"/>
  <c r="E12" i="10"/>
  <c r="F12" i="10" s="1"/>
  <c r="G12" i="10"/>
  <c r="E13" i="10"/>
  <c r="F13" i="10" s="1"/>
  <c r="G13" i="10"/>
  <c r="E14" i="10"/>
  <c r="F14" i="10" s="1"/>
  <c r="G14" i="10"/>
  <c r="E15" i="10"/>
  <c r="F15" i="10" s="1"/>
  <c r="G15" i="10"/>
  <c r="E16" i="10"/>
  <c r="F16" i="10" s="1"/>
  <c r="G16" i="10"/>
  <c r="E17" i="10"/>
  <c r="F17" i="10" s="1"/>
  <c r="G17" i="10"/>
  <c r="E18" i="10"/>
  <c r="G18" i="10"/>
  <c r="E19" i="10"/>
  <c r="F19" i="10" s="1"/>
  <c r="G19" i="10"/>
  <c r="E20" i="10"/>
  <c r="F20" i="10" s="1"/>
  <c r="G20" i="10"/>
  <c r="E21" i="10"/>
  <c r="F21" i="10" s="1"/>
  <c r="G21" i="10"/>
  <c r="E22" i="10"/>
  <c r="G22" i="10"/>
  <c r="E23" i="10"/>
  <c r="F23" i="10" s="1"/>
  <c r="G23" i="10"/>
  <c r="E24" i="10"/>
  <c r="F24" i="10" s="1"/>
  <c r="G24" i="10"/>
  <c r="E25" i="10"/>
  <c r="F25" i="10" s="1"/>
  <c r="G25" i="10"/>
  <c r="E26" i="10"/>
  <c r="F26" i="10" s="1"/>
  <c r="G26" i="10"/>
  <c r="E27" i="10"/>
  <c r="F27" i="10" s="1"/>
  <c r="G27" i="10"/>
  <c r="E28" i="10"/>
  <c r="G28" i="10"/>
  <c r="E29" i="10"/>
  <c r="F29" i="10" s="1"/>
  <c r="G29" i="10"/>
  <c r="E30" i="10"/>
  <c r="F30" i="10" s="1"/>
  <c r="G30" i="10"/>
  <c r="E31" i="10"/>
  <c r="F31" i="10" s="1"/>
  <c r="G31" i="10"/>
  <c r="E32" i="10"/>
  <c r="G32" i="10"/>
  <c r="E33" i="10"/>
  <c r="G33" i="10"/>
  <c r="E34" i="10"/>
  <c r="F34" i="10" s="1"/>
  <c r="G34" i="10"/>
  <c r="E35" i="10"/>
  <c r="F35" i="10" s="1"/>
  <c r="G35" i="10"/>
  <c r="E36" i="10"/>
  <c r="F36" i="10" s="1"/>
  <c r="G36" i="10"/>
  <c r="E37" i="10"/>
  <c r="G37" i="10"/>
  <c r="E38" i="10"/>
  <c r="F38" i="10" s="1"/>
  <c r="G38" i="10"/>
  <c r="E39" i="10"/>
  <c r="F39" i="10" s="1"/>
  <c r="G39" i="10"/>
  <c r="E40" i="10"/>
  <c r="F40" i="10" s="1"/>
  <c r="G40" i="10"/>
  <c r="E41" i="10"/>
  <c r="F41" i="10" s="1"/>
  <c r="G41" i="10"/>
  <c r="E42" i="10"/>
  <c r="F42" i="10" s="1"/>
  <c r="G42" i="10"/>
  <c r="E43" i="10"/>
  <c r="F43" i="10" s="1"/>
  <c r="G43" i="10"/>
  <c r="E44" i="10"/>
  <c r="F44" i="10" s="1"/>
  <c r="G44" i="10"/>
  <c r="E45" i="10"/>
  <c r="F45" i="10" s="1"/>
  <c r="G45" i="10"/>
  <c r="E46" i="10"/>
  <c r="F46" i="10" s="1"/>
  <c r="G46" i="10"/>
  <c r="E47" i="10"/>
  <c r="F47" i="10" s="1"/>
  <c r="G47" i="10"/>
  <c r="E48" i="10"/>
  <c r="F48" i="10" s="1"/>
  <c r="G48" i="10"/>
  <c r="E49" i="10"/>
  <c r="F49" i="10" s="1"/>
  <c r="G49" i="10"/>
  <c r="E50" i="10"/>
  <c r="F50" i="10" s="1"/>
  <c r="G50" i="10"/>
  <c r="E51" i="10"/>
  <c r="G51" i="10"/>
  <c r="E52" i="10"/>
  <c r="F52" i="10" s="1"/>
  <c r="G52" i="10"/>
  <c r="E53" i="10"/>
  <c r="G53" i="10"/>
  <c r="E54" i="10"/>
  <c r="G54" i="10"/>
  <c r="E55" i="10"/>
  <c r="F55" i="10" s="1"/>
  <c r="G55" i="10"/>
  <c r="E56" i="10"/>
  <c r="G56" i="10"/>
  <c r="E57" i="10"/>
  <c r="G57" i="10"/>
  <c r="E58" i="10"/>
  <c r="G58" i="10"/>
  <c r="E59" i="10"/>
  <c r="G59" i="10"/>
  <c r="E60" i="10"/>
  <c r="F60" i="10" s="1"/>
  <c r="G60" i="10"/>
  <c r="E61" i="10"/>
  <c r="G61" i="10"/>
  <c r="E62" i="10"/>
  <c r="F62" i="10" s="1"/>
  <c r="G62" i="10"/>
  <c r="E63" i="10"/>
  <c r="G63" i="10"/>
  <c r="E64" i="10"/>
  <c r="F64" i="10" s="1"/>
  <c r="G64" i="10"/>
  <c r="E65" i="10"/>
  <c r="G65" i="10"/>
  <c r="E66" i="10"/>
  <c r="G66" i="10"/>
  <c r="E67" i="10"/>
  <c r="F67" i="10" s="1"/>
  <c r="G67" i="10"/>
  <c r="E68" i="10"/>
  <c r="G68" i="10"/>
  <c r="E69" i="10"/>
  <c r="F69" i="10" s="1"/>
  <c r="G69" i="10"/>
  <c r="S13" i="11"/>
  <c r="T13" i="11"/>
  <c r="S14" i="11"/>
  <c r="T14" i="11"/>
  <c r="S15" i="11"/>
  <c r="S22" i="11" s="1"/>
  <c r="T15" i="11"/>
  <c r="T22" i="11" s="1"/>
  <c r="S16" i="11"/>
  <c r="T16" i="11"/>
  <c r="S17" i="11"/>
  <c r="T17" i="11"/>
  <c r="S18" i="11"/>
  <c r="T18" i="11"/>
  <c r="S19" i="11"/>
  <c r="T19" i="11"/>
  <c r="N12" i="11"/>
  <c r="N17" i="11"/>
  <c r="N66" i="11"/>
  <c r="O66" i="11"/>
  <c r="O12" i="11"/>
  <c r="I17" i="11"/>
  <c r="I50" i="11"/>
  <c r="N49" i="11"/>
  <c r="O49" i="11"/>
  <c r="N39" i="11"/>
  <c r="O39" i="11"/>
  <c r="N63" i="11"/>
  <c r="O63" i="11"/>
  <c r="N68" i="11"/>
  <c r="O68" i="11"/>
  <c r="N48" i="11"/>
  <c r="O48" i="11"/>
  <c r="N24" i="11"/>
  <c r="O24" i="11"/>
  <c r="N38" i="11"/>
  <c r="O38" i="11"/>
  <c r="N30" i="11"/>
  <c r="O30" i="11"/>
  <c r="N55" i="11"/>
  <c r="O55" i="11"/>
  <c r="N36" i="11"/>
  <c r="O36" i="11"/>
  <c r="N34" i="11"/>
  <c r="O34" i="11"/>
  <c r="N65" i="11"/>
  <c r="O65" i="11"/>
  <c r="N47" i="11"/>
  <c r="O47" i="11"/>
  <c r="N69" i="11"/>
  <c r="O69" i="11"/>
  <c r="N27" i="11"/>
  <c r="O27" i="11"/>
  <c r="N52" i="11"/>
  <c r="O52" i="11"/>
  <c r="N54" i="11"/>
  <c r="O54" i="11"/>
  <c r="N58" i="11"/>
  <c r="O58" i="11"/>
  <c r="N44" i="11"/>
  <c r="O44" i="11"/>
  <c r="N26" i="11"/>
  <c r="O26" i="11"/>
  <c r="N57" i="11"/>
  <c r="O57" i="11"/>
  <c r="N25" i="11"/>
  <c r="O25" i="11"/>
  <c r="N29" i="11"/>
  <c r="O29" i="11"/>
  <c r="N45" i="11"/>
  <c r="O45" i="11"/>
  <c r="N31" i="11"/>
  <c r="O31" i="11"/>
  <c r="N16" i="11"/>
  <c r="O16" i="11"/>
  <c r="N32" i="11"/>
  <c r="O32" i="11"/>
  <c r="N46" i="11"/>
  <c r="O46" i="11"/>
  <c r="N40" i="11"/>
  <c r="O40" i="11"/>
  <c r="N22" i="11"/>
  <c r="O22" i="11"/>
  <c r="N15" i="11"/>
  <c r="O15" i="11"/>
  <c r="N28" i="11"/>
  <c r="O28" i="11"/>
  <c r="N56" i="11"/>
  <c r="O56" i="11"/>
  <c r="N64" i="11"/>
  <c r="O64" i="11"/>
  <c r="N18" i="11"/>
  <c r="O18" i="11"/>
  <c r="N37" i="11"/>
  <c r="O37" i="11"/>
  <c r="N60" i="11"/>
  <c r="O60" i="11"/>
  <c r="N61" i="11"/>
  <c r="O61" i="11"/>
  <c r="N11" i="11"/>
  <c r="O11" i="11"/>
  <c r="N14" i="11"/>
  <c r="O14" i="11"/>
  <c r="N43" i="11"/>
  <c r="O43" i="11"/>
  <c r="N59" i="11"/>
  <c r="O59" i="11"/>
  <c r="N21" i="11"/>
  <c r="O21" i="11"/>
  <c r="N67" i="11"/>
  <c r="O67" i="11"/>
  <c r="N33" i="11"/>
  <c r="O33" i="11"/>
  <c r="N35" i="11"/>
  <c r="O35" i="11"/>
  <c r="N53" i="11"/>
  <c r="O53" i="11"/>
  <c r="N19" i="11"/>
  <c r="O19" i="11"/>
  <c r="N42" i="11"/>
  <c r="O42" i="11"/>
  <c r="N20" i="11"/>
  <c r="O20" i="11"/>
  <c r="N10" i="11"/>
  <c r="O10" i="11"/>
  <c r="N62" i="11"/>
  <c r="O62" i="11"/>
  <c r="N13" i="11"/>
  <c r="O13" i="11"/>
  <c r="N23" i="11"/>
  <c r="O23" i="11"/>
  <c r="N51" i="11"/>
  <c r="O51" i="11"/>
  <c r="N50" i="11"/>
  <c r="O50" i="11"/>
  <c r="N41" i="11"/>
  <c r="O41" i="11"/>
  <c r="H49" i="11"/>
  <c r="K49" i="11" s="1"/>
  <c r="I49" i="11"/>
  <c r="L49" i="11" s="1"/>
  <c r="H39" i="11"/>
  <c r="I39" i="11"/>
  <c r="H63" i="11"/>
  <c r="K63" i="11" s="1"/>
  <c r="I63" i="11"/>
  <c r="H68" i="11"/>
  <c r="I68" i="11"/>
  <c r="L68" i="11" s="1"/>
  <c r="H48" i="11"/>
  <c r="K48" i="11" s="1"/>
  <c r="I48" i="11"/>
  <c r="H24" i="11"/>
  <c r="K24" i="11" s="1"/>
  <c r="I24" i="11"/>
  <c r="L24" i="11" s="1"/>
  <c r="H38" i="11"/>
  <c r="K38" i="11" s="1"/>
  <c r="I38" i="11"/>
  <c r="L38" i="11" s="1"/>
  <c r="H30" i="11"/>
  <c r="K30" i="11" s="1"/>
  <c r="I30" i="11"/>
  <c r="H55" i="11"/>
  <c r="K55" i="11" s="1"/>
  <c r="I55" i="11"/>
  <c r="L55" i="11" s="1"/>
  <c r="H36" i="11"/>
  <c r="I36" i="11"/>
  <c r="L36" i="11" s="1"/>
  <c r="H34" i="11"/>
  <c r="K34" i="11" s="1"/>
  <c r="I34" i="11"/>
  <c r="L34" i="11" s="1"/>
  <c r="H65" i="11"/>
  <c r="K65" i="11" s="1"/>
  <c r="I65" i="11"/>
  <c r="L65" i="11" s="1"/>
  <c r="H47" i="11"/>
  <c r="K47" i="11" s="1"/>
  <c r="I47" i="11"/>
  <c r="H69" i="11"/>
  <c r="K69" i="11" s="1"/>
  <c r="I69" i="11"/>
  <c r="L69" i="11" s="1"/>
  <c r="H27" i="11"/>
  <c r="K27" i="11" s="1"/>
  <c r="I27" i="11"/>
  <c r="L27" i="11" s="1"/>
  <c r="H52" i="11"/>
  <c r="K52" i="11" s="1"/>
  <c r="I52" i="11"/>
  <c r="L52" i="11" s="1"/>
  <c r="H54" i="11"/>
  <c r="K54" i="11" s="1"/>
  <c r="I54" i="11"/>
  <c r="L54" i="11" s="1"/>
  <c r="H58" i="11"/>
  <c r="K58" i="11" s="1"/>
  <c r="I58" i="11"/>
  <c r="H44" i="11"/>
  <c r="K44" i="11" s="1"/>
  <c r="I44" i="11"/>
  <c r="H26" i="11"/>
  <c r="I26" i="11"/>
  <c r="L26" i="11" s="1"/>
  <c r="H57" i="11"/>
  <c r="I57" i="11"/>
  <c r="H25" i="11"/>
  <c r="I25" i="11"/>
  <c r="H29" i="11"/>
  <c r="K29" i="11" s="1"/>
  <c r="I29" i="11"/>
  <c r="H45" i="11"/>
  <c r="I45" i="11"/>
  <c r="H31" i="11"/>
  <c r="I31" i="11"/>
  <c r="L31" i="11" s="1"/>
  <c r="H16" i="11"/>
  <c r="K16" i="11" s="1"/>
  <c r="I16" i="11"/>
  <c r="H32" i="11"/>
  <c r="K32" i="11" s="1"/>
  <c r="I32" i="11"/>
  <c r="L32" i="11" s="1"/>
  <c r="H46" i="11"/>
  <c r="I46" i="11"/>
  <c r="L46" i="11" s="1"/>
  <c r="H40" i="11"/>
  <c r="K40" i="11" s="1"/>
  <c r="I40" i="11"/>
  <c r="H22" i="11"/>
  <c r="K22" i="11" s="1"/>
  <c r="I22" i="11"/>
  <c r="H15" i="11"/>
  <c r="I15" i="11"/>
  <c r="L15" i="11" s="1"/>
  <c r="H28" i="11"/>
  <c r="K28" i="11" s="1"/>
  <c r="I28" i="11"/>
  <c r="H56" i="11"/>
  <c r="K56" i="11" s="1"/>
  <c r="I56" i="11"/>
  <c r="L56" i="11" s="1"/>
  <c r="H64" i="11"/>
  <c r="K64" i="11" s="1"/>
  <c r="I64" i="11"/>
  <c r="L64" i="11" s="1"/>
  <c r="H18" i="11"/>
  <c r="I18" i="11"/>
  <c r="L18" i="11" s="1"/>
  <c r="H37" i="11"/>
  <c r="K37" i="11" s="1"/>
  <c r="I37" i="11"/>
  <c r="L37" i="11" s="1"/>
  <c r="H60" i="11"/>
  <c r="K60" i="11" s="1"/>
  <c r="I60" i="11"/>
  <c r="H61" i="11"/>
  <c r="K61" i="11" s="1"/>
  <c r="I61" i="11"/>
  <c r="H11" i="11"/>
  <c r="I11" i="11"/>
  <c r="H14" i="11"/>
  <c r="K14" i="11" s="1"/>
  <c r="I14" i="11"/>
  <c r="L14" i="11" s="1"/>
  <c r="H43" i="11"/>
  <c r="K43" i="11" s="1"/>
  <c r="I43" i="11"/>
  <c r="H59" i="11"/>
  <c r="K59" i="11" s="1"/>
  <c r="I59" i="11"/>
  <c r="L59" i="11" s="1"/>
  <c r="H21" i="11"/>
  <c r="K21" i="11" s="1"/>
  <c r="I21" i="11"/>
  <c r="H67" i="11"/>
  <c r="K67" i="11" s="1"/>
  <c r="I67" i="11"/>
  <c r="H33" i="11"/>
  <c r="I33" i="11"/>
  <c r="L33" i="11" s="1"/>
  <c r="H35" i="11"/>
  <c r="I35" i="11"/>
  <c r="H53" i="11"/>
  <c r="K53" i="11" s="1"/>
  <c r="I53" i="11"/>
  <c r="H19" i="11"/>
  <c r="K19" i="11" s="1"/>
  <c r="I19" i="11"/>
  <c r="L19" i="11" s="1"/>
  <c r="H42" i="11"/>
  <c r="I42" i="11"/>
  <c r="H20" i="11"/>
  <c r="K20" i="11" s="1"/>
  <c r="I20" i="11"/>
  <c r="H10" i="11"/>
  <c r="K10" i="11" s="1"/>
  <c r="I10" i="11"/>
  <c r="L10" i="11" s="1"/>
  <c r="H62" i="11"/>
  <c r="K62" i="11" s="1"/>
  <c r="I62" i="11"/>
  <c r="H13" i="11"/>
  <c r="I13" i="11"/>
  <c r="H23" i="11"/>
  <c r="I23" i="11"/>
  <c r="L23" i="11" s="1"/>
  <c r="H51" i="11"/>
  <c r="I51" i="11"/>
  <c r="I66" i="11"/>
  <c r="H41" i="11"/>
  <c r="I41" i="11"/>
  <c r="L41" i="11" s="1"/>
  <c r="K41" i="11" l="1"/>
  <c r="K25" i="11"/>
  <c r="K45" i="11"/>
  <c r="K46" i="11" s="1"/>
  <c r="K13" i="11" s="1"/>
  <c r="K23" i="11" s="1"/>
  <c r="F68" i="10"/>
  <c r="F37" i="10"/>
  <c r="K35" i="11"/>
  <c r="L11" i="11"/>
  <c r="L16" i="11"/>
  <c r="L39" i="11"/>
  <c r="L44" i="11"/>
  <c r="L21" i="11" s="1"/>
  <c r="F56" i="10"/>
  <c r="F57" i="10" s="1"/>
  <c r="F58" i="10" s="1"/>
  <c r="F59" i="10" s="1"/>
  <c r="F61" i="10"/>
  <c r="F22" i="10"/>
  <c r="F28" i="10"/>
  <c r="F63" i="10"/>
  <c r="F51" i="10"/>
  <c r="F32" i="10"/>
  <c r="F33" i="10" s="1"/>
  <c r="F18" i="10"/>
  <c r="F65" i="10"/>
  <c r="F66" i="10" s="1"/>
  <c r="F53" i="10"/>
  <c r="F54" i="10" s="1"/>
  <c r="L35" i="11"/>
  <c r="S24" i="11"/>
  <c r="S30" i="11"/>
  <c r="L57" i="11"/>
  <c r="T24" i="11"/>
  <c r="T30" i="11"/>
  <c r="K33" i="11"/>
  <c r="K31" i="11" s="1"/>
  <c r="L42" i="11"/>
  <c r="L60" i="11"/>
  <c r="L61" i="11" s="1"/>
  <c r="L62" i="11" s="1"/>
  <c r="K42" i="11"/>
  <c r="K18" i="11" s="1"/>
  <c r="S27" i="11"/>
  <c r="T23" i="11"/>
  <c r="S23" i="11"/>
  <c r="T27" i="11"/>
  <c r="T31" i="11"/>
  <c r="S31" i="11"/>
  <c r="I12" i="11"/>
  <c r="O17" i="11"/>
  <c r="L66" i="11"/>
  <c r="H50" i="11"/>
  <c r="H12" i="11"/>
  <c r="H17" i="11"/>
  <c r="H66" i="11"/>
  <c r="K66" i="11" s="1"/>
  <c r="L22" i="11" l="1"/>
  <c r="L40" i="11" s="1"/>
  <c r="K39" i="11"/>
  <c r="K11" i="11"/>
  <c r="L63" i="11"/>
  <c r="L67" i="11" s="1"/>
  <c r="L53" i="11"/>
  <c r="L12" i="11"/>
  <c r="L17" i="11" s="1"/>
  <c r="K12" i="11"/>
  <c r="L13" i="11" l="1"/>
  <c r="L47" i="11" s="1"/>
  <c r="L48" i="11" s="1"/>
  <c r="L25" i="11"/>
  <c r="L29" i="11" s="1"/>
  <c r="L45" i="11" s="1"/>
  <c r="L20" i="11"/>
  <c r="L50" i="11"/>
  <c r="L43" i="11"/>
  <c r="L58" i="11" s="1"/>
  <c r="K17" i="11"/>
  <c r="K68" i="11"/>
  <c r="K26" i="11" s="1"/>
  <c r="M50" i="11"/>
  <c r="G50" i="11"/>
  <c r="J50" i="11" s="1"/>
  <c r="M17" i="11"/>
  <c r="G17" i="11"/>
  <c r="M12" i="11"/>
  <c r="G12" i="11"/>
  <c r="J12" i="11" s="1"/>
  <c r="M66" i="11"/>
  <c r="G66" i="11"/>
  <c r="M51" i="11"/>
  <c r="G51" i="11"/>
  <c r="M23" i="11"/>
  <c r="G23" i="11"/>
  <c r="J23" i="11" s="1"/>
  <c r="M13" i="11"/>
  <c r="G13" i="11"/>
  <c r="M62" i="11"/>
  <c r="G62" i="11"/>
  <c r="J62" i="11" s="1"/>
  <c r="M10" i="11"/>
  <c r="G10" i="11"/>
  <c r="M20" i="11"/>
  <c r="G20" i="11"/>
  <c r="J20" i="11" s="1"/>
  <c r="M42" i="11"/>
  <c r="G42" i="11"/>
  <c r="M19" i="11"/>
  <c r="G19" i="11"/>
  <c r="M53" i="11"/>
  <c r="G53" i="11"/>
  <c r="M35" i="11"/>
  <c r="G35" i="11"/>
  <c r="M33" i="11"/>
  <c r="G33" i="11"/>
  <c r="J33" i="11" s="1"/>
  <c r="M67" i="11"/>
  <c r="G67" i="11"/>
  <c r="M21" i="11"/>
  <c r="G21" i="11"/>
  <c r="M59" i="11"/>
  <c r="G59" i="11"/>
  <c r="J59" i="11" s="1"/>
  <c r="M43" i="11"/>
  <c r="G43" i="11"/>
  <c r="M14" i="11"/>
  <c r="G14" i="11"/>
  <c r="J14" i="11" s="1"/>
  <c r="M11" i="11"/>
  <c r="G11" i="11"/>
  <c r="J11" i="11" s="1"/>
  <c r="M61" i="11"/>
  <c r="G61" i="11"/>
  <c r="J61" i="11" s="1"/>
  <c r="M60" i="11"/>
  <c r="G60" i="11"/>
  <c r="J60" i="11" s="1"/>
  <c r="M37" i="11"/>
  <c r="G37" i="11"/>
  <c r="J37" i="11" s="1"/>
  <c r="M18" i="11"/>
  <c r="G18" i="11"/>
  <c r="J18" i="11" s="1"/>
  <c r="M64" i="11"/>
  <c r="G64" i="11"/>
  <c r="J64" i="11" s="1"/>
  <c r="M56" i="11"/>
  <c r="G56" i="11"/>
  <c r="J56" i="11" s="1"/>
  <c r="M28" i="11"/>
  <c r="G28" i="11"/>
  <c r="M15" i="11"/>
  <c r="G15" i="11"/>
  <c r="J15" i="11" s="1"/>
  <c r="M22" i="11"/>
  <c r="G22" i="11"/>
  <c r="J22" i="11" s="1"/>
  <c r="M40" i="11"/>
  <c r="G40" i="11"/>
  <c r="J40" i="11" s="1"/>
  <c r="M46" i="11"/>
  <c r="G46" i="11"/>
  <c r="M32" i="11"/>
  <c r="G32" i="11"/>
  <c r="M16" i="11"/>
  <c r="G16" i="11"/>
  <c r="J16" i="11" s="1"/>
  <c r="M31" i="11"/>
  <c r="G31" i="11"/>
  <c r="M45" i="11"/>
  <c r="G45" i="11"/>
  <c r="J45" i="11" s="1"/>
  <c r="M29" i="11"/>
  <c r="G29" i="11"/>
  <c r="M25" i="11"/>
  <c r="G25" i="11"/>
  <c r="M57" i="11"/>
  <c r="G57" i="11"/>
  <c r="M26" i="11"/>
  <c r="G26" i="11"/>
  <c r="J26" i="11" s="1"/>
  <c r="M44" i="11"/>
  <c r="G44" i="11"/>
  <c r="M58" i="11"/>
  <c r="G58" i="11"/>
  <c r="M54" i="11"/>
  <c r="G54" i="11"/>
  <c r="J54" i="11" s="1"/>
  <c r="M52" i="11"/>
  <c r="G52" i="11"/>
  <c r="J52" i="11" s="1"/>
  <c r="M27" i="11"/>
  <c r="G27" i="11"/>
  <c r="M69" i="11"/>
  <c r="G69" i="11"/>
  <c r="J69" i="11" s="1"/>
  <c r="M47" i="11"/>
  <c r="G47" i="11"/>
  <c r="M65" i="11"/>
  <c r="G65" i="11"/>
  <c r="M34" i="11"/>
  <c r="G34" i="11"/>
  <c r="J34" i="11" s="1"/>
  <c r="M36" i="11"/>
  <c r="G36" i="11"/>
  <c r="R19" i="11"/>
  <c r="M55" i="11"/>
  <c r="G55" i="11"/>
  <c r="J55" i="11" s="1"/>
  <c r="R18" i="11"/>
  <c r="M30" i="11"/>
  <c r="G30" i="11"/>
  <c r="R17" i="11"/>
  <c r="M38" i="11"/>
  <c r="G38" i="11"/>
  <c r="J38" i="11" s="1"/>
  <c r="R16" i="11"/>
  <c r="M24" i="11"/>
  <c r="G24" i="11"/>
  <c r="J24" i="11" s="1"/>
  <c r="R15" i="11"/>
  <c r="R22" i="11" s="1"/>
  <c r="M48" i="11"/>
  <c r="G48" i="11"/>
  <c r="J48" i="11" s="1"/>
  <c r="R14" i="11"/>
  <c r="M68" i="11"/>
  <c r="G68" i="11"/>
  <c r="R13" i="11"/>
  <c r="M63" i="11"/>
  <c r="G63" i="11"/>
  <c r="M39" i="11"/>
  <c r="G39" i="11"/>
  <c r="J39" i="11" s="1"/>
  <c r="M49" i="11"/>
  <c r="G49" i="11"/>
  <c r="M41" i="11"/>
  <c r="G41" i="11"/>
  <c r="B6" i="11"/>
  <c r="A1" i="11"/>
  <c r="J57" i="11" l="1"/>
  <c r="J27" i="11"/>
  <c r="J28" i="11" s="1"/>
  <c r="J49" i="11"/>
  <c r="L28" i="11"/>
  <c r="L30" i="11" s="1"/>
  <c r="L51" i="11"/>
  <c r="J31" i="11"/>
  <c r="J63" i="11"/>
  <c r="K57" i="11"/>
  <c r="K36" i="11" s="1"/>
  <c r="K50" i="11"/>
  <c r="K51" i="11" s="1"/>
  <c r="K15" i="11"/>
  <c r="J35" i="11"/>
  <c r="J17" i="11" s="1"/>
  <c r="R31" i="11"/>
  <c r="R24" i="11"/>
  <c r="J65" i="11"/>
  <c r="J30" i="11"/>
  <c r="J21" i="11"/>
  <c r="J10" i="11"/>
  <c r="J41" i="11" s="1"/>
  <c r="J32" i="11"/>
  <c r="J51" i="11"/>
  <c r="J66" i="11" s="1"/>
  <c r="J53" i="11"/>
  <c r="J19" i="11" s="1"/>
  <c r="J13" i="11"/>
  <c r="R27" i="11"/>
  <c r="R23" i="11"/>
  <c r="R30" i="11"/>
  <c r="B6" i="10"/>
  <c r="A1" i="10"/>
  <c r="J14" i="10"/>
  <c r="J15" i="10"/>
  <c r="J22" i="10" s="1"/>
  <c r="J16" i="10"/>
  <c r="J17" i="10"/>
  <c r="J18" i="10"/>
  <c r="J19" i="10"/>
  <c r="J13" i="10"/>
  <c r="B6" i="9"/>
  <c r="A1" i="9"/>
  <c r="C6" i="9" s="1"/>
  <c r="J42" i="11" l="1"/>
  <c r="J43" i="11" s="1"/>
  <c r="J36" i="11"/>
  <c r="J67" i="11"/>
  <c r="J29" i="11"/>
  <c r="J27" i="10"/>
  <c r="J31" i="10"/>
  <c r="J30" i="10"/>
  <c r="J24" i="10"/>
  <c r="J23" i="10"/>
  <c r="J9" i="6"/>
  <c r="K9" i="6" s="1"/>
  <c r="L9" i="6" s="1"/>
  <c r="M9" i="6" s="1"/>
  <c r="H21" i="6"/>
  <c r="H15" i="6"/>
  <c r="I19" i="6" s="1"/>
  <c r="J58" i="11" l="1"/>
  <c r="J44" i="11"/>
  <c r="J46" i="11"/>
  <c r="J47" i="11" s="1"/>
  <c r="J25" i="11" s="1"/>
  <c r="J68" i="11"/>
  <c r="N9" i="6"/>
  <c r="J6" i="6"/>
  <c r="J7" i="6" s="1"/>
  <c r="J5" i="6" l="1"/>
  <c r="K6" i="6"/>
  <c r="K7" i="6" s="1"/>
  <c r="K5" i="6" l="1"/>
  <c r="L6" i="6"/>
  <c r="L7" i="6" s="1"/>
  <c r="L5" i="6" l="1"/>
  <c r="M6" i="6"/>
  <c r="M7" i="6" s="1"/>
  <c r="M5" i="6" l="1"/>
  <c r="N6" i="6"/>
  <c r="N7" i="6" s="1"/>
  <c r="N5" i="6" s="1"/>
  <c r="B11" i="6" l="1"/>
  <c r="A1" i="6"/>
  <c r="A1" i="5" l="1"/>
  <c r="I37" i="4" l="1"/>
  <c r="A1" i="2" l="1"/>
  <c r="E17" i="5"/>
  <c r="I17" i="5"/>
  <c r="B6" i="5"/>
  <c r="A1" i="4"/>
  <c r="K74" i="4"/>
  <c r="K72" i="4"/>
  <c r="K70" i="4"/>
  <c r="I70" i="4"/>
  <c r="K68" i="4"/>
  <c r="I68" i="4"/>
  <c r="K66" i="4"/>
  <c r="K64" i="4"/>
  <c r="K62" i="4"/>
  <c r="K60" i="4"/>
  <c r="K53" i="4"/>
  <c r="K51" i="4"/>
  <c r="K49" i="4"/>
  <c r="I47" i="4"/>
  <c r="K45" i="4"/>
  <c r="K43" i="4"/>
  <c r="K41" i="4"/>
  <c r="I41" i="4"/>
  <c r="I49" i="4" s="1"/>
  <c r="K37" i="4"/>
  <c r="K35" i="4"/>
  <c r="K33" i="4"/>
  <c r="K31" i="4"/>
  <c r="K29" i="4"/>
  <c r="I29" i="4"/>
  <c r="K27" i="4"/>
  <c r="I20" i="4"/>
  <c r="I18" i="4"/>
  <c r="I16" i="4"/>
  <c r="I15" i="4"/>
  <c r="I14" i="4"/>
  <c r="I13" i="4"/>
  <c r="I11" i="4"/>
  <c r="I10" i="4"/>
  <c r="B6" i="4"/>
  <c r="B23" i="4" s="1"/>
  <c r="C5" i="1"/>
  <c r="G11" i="2"/>
  <c r="B6" i="2"/>
  <c r="B15" i="2" s="1"/>
  <c r="F4" i="9" l="1"/>
  <c r="F4" i="11"/>
  <c r="F4" i="10"/>
  <c r="A2" i="10"/>
  <c r="A2" i="11"/>
  <c r="F4" i="5"/>
  <c r="I4" i="2"/>
  <c r="A2" i="9"/>
  <c r="G4" i="3"/>
  <c r="F4" i="6"/>
  <c r="A2" i="6"/>
  <c r="I4" i="4"/>
  <c r="A2" i="2"/>
  <c r="A2" i="5"/>
  <c r="B56" i="4"/>
  <c r="A2" i="4"/>
  <c r="A2" i="3"/>
  <c r="C6" i="1"/>
  <c r="J8" i="6"/>
  <c r="K8" i="6"/>
  <c r="L8" i="6"/>
  <c r="M8" i="6"/>
  <c r="N8" i="6"/>
</calcChain>
</file>

<file path=xl/sharedStrings.xml><?xml version="1.0" encoding="utf-8"?>
<sst xmlns="http://schemas.openxmlformats.org/spreadsheetml/2006/main" count="194" uniqueCount="132">
  <si>
    <t>Model Parameters</t>
  </si>
  <si>
    <t>Navigator</t>
  </si>
  <si>
    <t>Error Checks:</t>
  </si>
  <si>
    <t>General</t>
  </si>
  <si>
    <t>Key Inputs</t>
  </si>
  <si>
    <t>Model Name</t>
  </si>
  <si>
    <t>Client Name</t>
  </si>
  <si>
    <t>General Range Names</t>
  </si>
  <si>
    <t>Technical Assumptions</t>
  </si>
  <si>
    <t>Days in Year</t>
  </si>
  <si>
    <t>Months in Month</t>
  </si>
  <si>
    <t>Months in Quarter</t>
  </si>
  <si>
    <t>Months in Half Yr</t>
  </si>
  <si>
    <t>Months in Year</t>
  </si>
  <si>
    <t>Quarters in Year</t>
  </si>
  <si>
    <t>Rounding Accuracy</t>
  </si>
  <si>
    <t>Very Large Number</t>
  </si>
  <si>
    <t>Very Small Number</t>
  </si>
  <si>
    <t>Thousand</t>
  </si>
  <si>
    <t>General Cover Notes:</t>
  </si>
  <si>
    <t>Any queries, please e-mail:</t>
  </si>
  <si>
    <t>Website:</t>
  </si>
  <si>
    <t>www.sumproduct.com</t>
  </si>
  <si>
    <t>Table of Contents</t>
  </si>
  <si>
    <t>Cover</t>
  </si>
  <si>
    <t>Style Guide</t>
  </si>
  <si>
    <t>Formatting of Headers / Dividers</t>
  </si>
  <si>
    <t>Description</t>
  </si>
  <si>
    <t>Display</t>
  </si>
  <si>
    <t>Style Name</t>
  </si>
  <si>
    <t>Sheet Title</t>
  </si>
  <si>
    <t>Header 1</t>
  </si>
  <si>
    <t>Header 2</t>
  </si>
  <si>
    <t>Header 3</t>
  </si>
  <si>
    <t>Header 4</t>
  </si>
  <si>
    <t>Notes</t>
  </si>
  <si>
    <t>Table Heading</t>
  </si>
  <si>
    <t>Individual Cell Styles</t>
  </si>
  <si>
    <t>Assumption</t>
  </si>
  <si>
    <t>Constraint</t>
  </si>
  <si>
    <t>Empty</t>
  </si>
  <si>
    <t>Error Check</t>
  </si>
  <si>
    <t>Hyperlink</t>
  </si>
  <si>
    <t>Internal Reference</t>
  </si>
  <si>
    <t>Line Calculation</t>
  </si>
  <si>
    <t>Line Calc</t>
  </si>
  <si>
    <t>Line Total</t>
  </si>
  <si>
    <t>Parameter</t>
  </si>
  <si>
    <t>Range Name Description</t>
  </si>
  <si>
    <t>Not_Named</t>
  </si>
  <si>
    <t>Row Reference</t>
  </si>
  <si>
    <t>Row Ref</t>
  </si>
  <si>
    <t>Row Summary</t>
  </si>
  <si>
    <t>Units</t>
  </si>
  <si>
    <t>WIP</t>
  </si>
  <si>
    <t>Numerical Styles</t>
  </si>
  <si>
    <t>Comma</t>
  </si>
  <si>
    <t>Comma [0]</t>
  </si>
  <si>
    <t>Currency</t>
  </si>
  <si>
    <t>Currency [0]</t>
  </si>
  <si>
    <t>Date</t>
  </si>
  <si>
    <t>Date Heading</t>
  </si>
  <si>
    <t>Numbers 0</t>
  </si>
  <si>
    <t>Percent</t>
  </si>
  <si>
    <t>Error Checks</t>
  </si>
  <si>
    <t>Summary of Errors</t>
  </si>
  <si>
    <t>Assumptions</t>
  </si>
  <si>
    <t>Example</t>
  </si>
  <si>
    <t>A$</t>
  </si>
  <si>
    <t>Timing</t>
  </si>
  <si>
    <t>Start Date</t>
  </si>
  <si>
    <t>End Date</t>
  </si>
  <si>
    <t>Counter</t>
  </si>
  <si>
    <t>Number of Days</t>
  </si>
  <si>
    <t>Timing Assumptions</t>
  </si>
  <si>
    <t>Data (do not change once modelling has commenced)</t>
  </si>
  <si>
    <t>Model Start Date</t>
  </si>
  <si>
    <t>Number of Months in a Full Period</t>
  </si>
  <si>
    <t>Example Reporting Month</t>
  </si>
  <si>
    <t>Reporting Month Factor</t>
  </si>
  <si>
    <t>Change Log</t>
  </si>
  <si>
    <t xml:space="preserve">Model Version </t>
  </si>
  <si>
    <t>Details of change</t>
  </si>
  <si>
    <t>Worksheet Reference</t>
  </si>
  <si>
    <t>Row, column, cell reference</t>
  </si>
  <si>
    <t>Summary</t>
  </si>
  <si>
    <t>I changed it</t>
  </si>
  <si>
    <t>Author</t>
  </si>
  <si>
    <t>F11</t>
  </si>
  <si>
    <t>LB</t>
  </si>
  <si>
    <t>Untitled attachment 00059.xlsm</t>
  </si>
  <si>
    <t>So did I.</t>
  </si>
  <si>
    <t>And me.</t>
  </si>
  <si>
    <t>A4</t>
  </si>
  <si>
    <t>B9</t>
  </si>
  <si>
    <t>Dave</t>
  </si>
  <si>
    <t>SumProduct Pty Limited</t>
  </si>
  <si>
    <t>Primary Developer:  Sam Ngo</t>
  </si>
  <si>
    <t>Sam.Ngo@sumproduct.com</t>
  </si>
  <si>
    <t>Cloud 1</t>
  </si>
  <si>
    <t>Percentile</t>
  </si>
  <si>
    <t>Stacked Column</t>
  </si>
  <si>
    <t>Base 25th</t>
  </si>
  <si>
    <t>Bottom 25-50</t>
  </si>
  <si>
    <t>Top 50-75</t>
  </si>
  <si>
    <t>y</t>
  </si>
  <si>
    <t>x</t>
  </si>
  <si>
    <t>Negative</t>
  </si>
  <si>
    <t>Positive</t>
  </si>
  <si>
    <t>Cloud 1: 1st position</t>
  </si>
  <si>
    <t>Cloud 1: X-position</t>
  </si>
  <si>
    <t>Location</t>
  </si>
  <si>
    <t>Length</t>
  </si>
  <si>
    <t>Cloud 1: Distribution</t>
  </si>
  <si>
    <t>Percentile: Cloud 1</t>
  </si>
  <si>
    <t>Stacked: Cloud 1</t>
  </si>
  <si>
    <t>Error Bar Length</t>
  </si>
  <si>
    <t>Vertical Raincloud - 1 Cloud</t>
  </si>
  <si>
    <t>Vertical Raincloud Chart</t>
  </si>
  <si>
    <t>Cloud 2</t>
  </si>
  <si>
    <t>Cloud 3</t>
  </si>
  <si>
    <t>Cloud 2: 1st position</t>
  </si>
  <si>
    <t>Cloud 3: 1st position</t>
  </si>
  <si>
    <t>Cloud 2: X-position</t>
  </si>
  <si>
    <t>Cloud 3: X-position</t>
  </si>
  <si>
    <t>Cloud 2: Distribution</t>
  </si>
  <si>
    <t>Cloud 3: Distribution</t>
  </si>
  <si>
    <t>Percentile: Cloud 2</t>
  </si>
  <si>
    <t>Percentile: Cloud 3</t>
  </si>
  <si>
    <t>Stacked: Cloud 2</t>
  </si>
  <si>
    <t>Stacked: Cloud 3</t>
  </si>
  <si>
    <t>Vertical Raincloud - 3 Clouds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</si>
</sst>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164" formatCode="&quot;ý&quot;;&quot;ý&quot;;&quot;þ&quot;"/>
    <numFmt numFmtId="165" formatCode="#,##0&quot;.&quot;"/>
    <numFmt numFmtId="166" formatCode="0.E+00"/>
    <numFmt numFmtId="167" formatCode="[$-C09]dd\-mmm\-yy;@"/>
    <numFmt numFmtId="168" formatCode=";;;"/>
    <numFmt numFmtId="169" formatCode="_(#,##0_);[Red]\(#,##0\);_(\-_);"/>
    <numFmt numFmtId="170" formatCode="_(&quot;$&quot;#,##0.0_);\(&quot;$&quot;#,##0.0\);_(&quot;-&quot;_)"/>
    <numFmt numFmtId="171" formatCode="_(#,##0.0_);\(#,##0.0\);_(&quot;-&quot;_)"/>
    <numFmt numFmtId="172" formatCode="&quot;Row &quot;###0"/>
    <numFmt numFmtId="173" formatCode="#,##0."/>
    <numFmt numFmtId="174" formatCode="_(#,##0_);\(#,##0\);_(\-_)"/>
    <numFmt numFmtId="175" formatCode="_(#,##0.00_);\(#,##0.00\);_(\-_._0_0_)"/>
    <numFmt numFmtId="176" formatCode="&quot;$&quot;* _(#,##0.00_);&quot;$&quot;* \(#,##0.00\);&quot;$&quot;* _(\-_._0_0_)"/>
    <numFmt numFmtId="177" formatCode="&quot;$&quot;* _(#,##0_);&quot;$&quot;* \(#,##0\);&quot;$&quot;* _(\-_)"/>
    <numFmt numFmtId="178" formatCode="[$-C09]dd\ mmm\ yy;@"/>
    <numFmt numFmtId="179" formatCode="mmm\ yy"/>
    <numFmt numFmtId="180" formatCode="[$-C09]d\ mmm\ yy;@"/>
  </numFmts>
  <fonts count="33" x14ac:knownFonts="1"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Wingdings"/>
      <charset val="2"/>
    </font>
    <font>
      <i/>
      <sz val="11"/>
      <color theme="0" tint="-0.34998626667073579"/>
      <name val="Calibri"/>
      <family val="2"/>
      <scheme val="minor"/>
    </font>
    <font>
      <b/>
      <u/>
      <sz val="8"/>
      <color indexed="56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i/>
      <sz val="11"/>
      <color theme="0" tint="-0.499984740745262"/>
      <name val="Calibri"/>
      <family val="2"/>
      <scheme val="minor"/>
    </font>
    <font>
      <sz val="8"/>
      <name val="Arial"/>
      <family val="2"/>
    </font>
    <font>
      <sz val="10"/>
      <color theme="1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b/>
      <sz val="16"/>
      <color theme="8" tint="-0.499984740745262"/>
      <name val="Arial"/>
      <family val="2"/>
    </font>
    <font>
      <sz val="14"/>
      <color theme="8" tint="-0.499984740745262"/>
      <name val="Arial"/>
      <family val="2"/>
    </font>
    <font>
      <b/>
      <sz val="12"/>
      <color theme="0"/>
      <name val="Arial"/>
      <family val="2"/>
    </font>
    <font>
      <b/>
      <sz val="13"/>
      <color theme="8" tint="-0.499984740745262"/>
      <name val="Arial"/>
      <family val="2"/>
    </font>
    <font>
      <b/>
      <sz val="11"/>
      <color theme="1"/>
      <name val="Arial"/>
      <family val="2"/>
    </font>
    <font>
      <b/>
      <sz val="11"/>
      <color theme="3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sz val="18"/>
      <color theme="3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8" tint="-0.499984740745262"/>
      <name val="Arial"/>
      <family val="2"/>
    </font>
    <font>
      <sz val="9"/>
      <color theme="0" tint="-0.499984740745262"/>
      <name val="Arial"/>
      <family val="2"/>
    </font>
    <font>
      <b/>
      <u/>
      <sz val="9"/>
      <color theme="1"/>
      <name val="Arial"/>
      <family val="2"/>
    </font>
    <font>
      <sz val="9"/>
      <name val="Arial"/>
      <family val="2"/>
    </font>
    <font>
      <i/>
      <sz val="9"/>
      <color theme="8" tint="-0.499984740745262"/>
      <name val="Arial"/>
      <family val="2"/>
    </font>
    <font>
      <sz val="9"/>
      <color theme="8" tint="0.39988402966399123"/>
      <name val="Arial"/>
      <family val="2"/>
    </font>
    <font>
      <sz val="9"/>
      <color rgb="FFFF0000"/>
      <name val="Arial"/>
      <family val="2"/>
    </font>
    <font>
      <i/>
      <sz val="8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gray125">
        <fgColor theme="8" tint="-0.499984740745262"/>
        <bgColor theme="8" tint="0.59996337778862885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</borders>
  <cellStyleXfs count="42">
    <xf numFmtId="0" fontId="0" fillId="0" borderId="0"/>
    <xf numFmtId="175" fontId="1" fillId="0" borderId="0" applyFont="0" applyFill="0" applyBorder="0" applyAlignment="0" applyProtection="0"/>
    <xf numFmtId="17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4" fillId="0" borderId="0" applyNumberFormat="0" applyFill="0" applyBorder="0" applyProtection="0"/>
    <xf numFmtId="0" fontId="27" fillId="0" borderId="0" applyNumberFormat="0" applyFill="0" applyBorder="0">
      <alignment horizontal="left"/>
      <protection locked="0"/>
    </xf>
    <xf numFmtId="0" fontId="15" fillId="0" borderId="0" applyNumberFormat="0" applyFill="0" applyBorder="0" applyProtection="0"/>
    <xf numFmtId="0" fontId="16" fillId="3" borderId="1" applyNumberFormat="0" applyProtection="0"/>
    <xf numFmtId="0" fontId="17" fillId="0" borderId="0" applyNumberFormat="0" applyFill="0" applyAlignment="0" applyProtection="0"/>
    <xf numFmtId="0" fontId="18" fillId="0" borderId="0" applyNumberFormat="0" applyFill="0" applyAlignment="0" applyProtection="0"/>
    <xf numFmtId="0" fontId="26" fillId="0" borderId="3" applyNumberFormat="0" applyAlignment="0">
      <alignment horizontal="center"/>
    </xf>
    <xf numFmtId="0" fontId="25" fillId="4" borderId="4" applyNumberFormat="0" applyAlignment="0">
      <protection locked="0"/>
    </xf>
    <xf numFmtId="0" fontId="3" fillId="0" borderId="0" applyNumberFormat="0" applyFill="0" applyBorder="0"/>
    <xf numFmtId="180" fontId="23" fillId="0" borderId="0" applyFill="0" applyBorder="0" applyProtection="0">
      <alignment horizontal="center"/>
    </xf>
    <xf numFmtId="179" fontId="24" fillId="0" borderId="0" applyFill="0" applyBorder="0" applyProtection="0">
      <alignment horizontal="center"/>
    </xf>
    <xf numFmtId="168" fontId="1" fillId="5" borderId="4" applyAlignment="0"/>
    <xf numFmtId="164" fontId="2" fillId="2" borderId="2">
      <alignment horizontal="center"/>
      <protection locked="0"/>
    </xf>
    <xf numFmtId="0" fontId="4" fillId="0" borderId="0" applyFill="0" applyBorder="0">
      <alignment horizontal="left" vertical="center"/>
      <protection locked="0"/>
    </xf>
    <xf numFmtId="41" fontId="28" fillId="6" borderId="5" applyNumberFormat="0" applyAlignment="0"/>
    <xf numFmtId="41" fontId="1" fillId="0" borderId="6" applyNumberFormat="0" applyFont="0" applyFill="0" applyAlignment="0"/>
    <xf numFmtId="169" fontId="1" fillId="0" borderId="7" applyNumberFormat="0" applyFont="0" applyFill="0" applyAlignment="0" applyProtection="0"/>
    <xf numFmtId="0" fontId="6" fillId="0" borderId="0"/>
    <xf numFmtId="0" fontId="32" fillId="0" borderId="8" applyNumberFormat="0" applyFill="0" applyBorder="0"/>
    <xf numFmtId="169" fontId="1" fillId="0" borderId="0" applyFont="0" applyFill="0" applyBorder="0" applyAlignment="0" applyProtection="0"/>
    <xf numFmtId="0" fontId="26" fillId="7" borderId="2" applyNumberFormat="0" applyAlignment="0" applyProtection="0"/>
    <xf numFmtId="0" fontId="7" fillId="0" borderId="0" applyNumberFormat="0" applyFill="0" applyBorder="0" applyAlignment="0" applyProtection="0"/>
    <xf numFmtId="170" fontId="8" fillId="0" borderId="0" applyFill="0" applyBorder="0">
      <alignment horizontal="right" vertical="center"/>
    </xf>
    <xf numFmtId="171" fontId="8" fillId="0" borderId="0" applyFill="0" applyBorder="0">
      <alignment horizontal="right" vertical="center"/>
    </xf>
    <xf numFmtId="172" fontId="29" fillId="7" borderId="4">
      <alignment horizontal="center"/>
    </xf>
    <xf numFmtId="41" fontId="5" fillId="8" borderId="5" applyFont="0" applyAlignment="0"/>
    <xf numFmtId="0" fontId="13" fillId="11" borderId="0" applyNumberFormat="0">
      <alignment horizontal="center"/>
    </xf>
    <xf numFmtId="0" fontId="30" fillId="0" borderId="0" applyNumberFormat="0" applyFill="0" applyBorder="0" applyProtection="0"/>
    <xf numFmtId="0" fontId="31" fillId="9" borderId="9" applyNumberFormat="0" applyAlignment="0">
      <protection locked="0"/>
    </xf>
    <xf numFmtId="0" fontId="22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10" applyNumberFormat="0" applyFill="0" applyAlignment="0" applyProtection="0"/>
    <xf numFmtId="0" fontId="19" fillId="0" borderId="11" applyNumberFormat="0" applyFill="0" applyAlignment="0" applyProtection="0"/>
    <xf numFmtId="0" fontId="18" fillId="0" borderId="12" applyNumberFormat="0" applyFill="0" applyAlignment="0" applyProtection="0"/>
    <xf numFmtId="173" fontId="16" fillId="3" borderId="1"/>
  </cellStyleXfs>
  <cellXfs count="73">
    <xf numFmtId="0" fontId="0" fillId="0" borderId="0" xfId="0"/>
    <xf numFmtId="164" fontId="2" fillId="2" borderId="2" xfId="0" applyNumberFormat="1" applyFont="1" applyFill="1" applyBorder="1" applyAlignment="1" applyProtection="1">
      <alignment horizontal="center"/>
      <protection locked="0"/>
    </xf>
    <xf numFmtId="0" fontId="16" fillId="3" borderId="1" xfId="10"/>
    <xf numFmtId="0" fontId="17" fillId="0" borderId="0" xfId="11"/>
    <xf numFmtId="0" fontId="18" fillId="0" borderId="0" xfId="12"/>
    <xf numFmtId="0" fontId="26" fillId="0" borderId="3" xfId="13" applyAlignment="1">
      <alignment horizontal="center"/>
    </xf>
    <xf numFmtId="166" fontId="26" fillId="0" borderId="3" xfId="13" applyNumberFormat="1" applyAlignment="1">
      <alignment horizontal="center"/>
    </xf>
    <xf numFmtId="0" fontId="9" fillId="0" borderId="0" xfId="0" applyFont="1"/>
    <xf numFmtId="0" fontId="10" fillId="0" borderId="0" xfId="12" applyFont="1" applyAlignment="1">
      <alignment horizontal="left" vertical="center"/>
    </xf>
    <xf numFmtId="0" fontId="11" fillId="0" borderId="0" xfId="0" applyFont="1"/>
    <xf numFmtId="0" fontId="11" fillId="0" borderId="0" xfId="6" applyFont="1" applyAlignment="1">
      <alignment horizontal="left" vertical="center"/>
    </xf>
    <xf numFmtId="0" fontId="27" fillId="0" borderId="0" xfId="8">
      <alignment horizontal="left"/>
      <protection locked="0"/>
    </xf>
    <xf numFmtId="0" fontId="27" fillId="0" borderId="0" xfId="8" applyAlignment="1">
      <alignment horizontal="right"/>
      <protection locked="0"/>
    </xf>
    <xf numFmtId="0" fontId="13" fillId="11" borderId="0" xfId="33">
      <alignment horizontal="center"/>
    </xf>
    <xf numFmtId="0" fontId="14" fillId="0" borderId="0" xfId="7" applyBorder="1"/>
    <xf numFmtId="0" fontId="12" fillId="0" borderId="0" xfId="0" applyFont="1" applyAlignment="1">
      <alignment horizontal="left"/>
    </xf>
    <xf numFmtId="0" fontId="15" fillId="0" borderId="0" xfId="9" applyBorder="1"/>
    <xf numFmtId="0" fontId="0" fillId="0" borderId="0" xfId="0" applyAlignment="1">
      <alignment horizontal="left"/>
    </xf>
    <xf numFmtId="0" fontId="19" fillId="0" borderId="0" xfId="6" applyBorder="1"/>
    <xf numFmtId="0" fontId="32" fillId="0" borderId="0" xfId="25" applyBorder="1"/>
    <xf numFmtId="0" fontId="25" fillId="4" borderId="4" xfId="14">
      <protection locked="0"/>
    </xf>
    <xf numFmtId="0" fontId="12" fillId="0" borderId="0" xfId="0" applyFont="1"/>
    <xf numFmtId="0" fontId="26" fillId="0" borderId="3" xfId="13" applyAlignment="1"/>
    <xf numFmtId="168" fontId="1" fillId="5" borderId="4" xfId="18"/>
    <xf numFmtId="164" fontId="2" fillId="2" borderId="2" xfId="19">
      <alignment horizontal="center"/>
      <protection locked="0"/>
    </xf>
    <xf numFmtId="0" fontId="28" fillId="6" borderId="5" xfId="21" applyNumberFormat="1"/>
    <xf numFmtId="0" fontId="0" fillId="0" borderId="6" xfId="22" applyNumberFormat="1" applyFont="1"/>
    <xf numFmtId="0" fontId="0" fillId="0" borderId="7" xfId="23" applyNumberFormat="1" applyFont="1"/>
    <xf numFmtId="0" fontId="26" fillId="7" borderId="2" xfId="27"/>
    <xf numFmtId="0" fontId="7" fillId="0" borderId="0" xfId="28"/>
    <xf numFmtId="172" fontId="29" fillId="7" borderId="4" xfId="31">
      <alignment horizontal="center"/>
    </xf>
    <xf numFmtId="41" fontId="0" fillId="8" borderId="5" xfId="32" applyFont="1"/>
    <xf numFmtId="0" fontId="30" fillId="0" borderId="0" xfId="34"/>
    <xf numFmtId="0" fontId="31" fillId="9" borderId="9" xfId="35">
      <protection locked="0"/>
    </xf>
    <xf numFmtId="174" fontId="0" fillId="0" borderId="0" xfId="2" applyFont="1"/>
    <xf numFmtId="169" fontId="0" fillId="0" borderId="0" xfId="26" applyFont="1"/>
    <xf numFmtId="9" fontId="0" fillId="0" borderId="0" xfId="5" applyFont="1"/>
    <xf numFmtId="164" fontId="2" fillId="10" borderId="2" xfId="0" applyNumberFormat="1" applyFont="1" applyFill="1" applyBorder="1" applyAlignment="1" applyProtection="1">
      <alignment horizontal="center"/>
      <protection locked="0"/>
    </xf>
    <xf numFmtId="180" fontId="23" fillId="0" borderId="0" xfId="16">
      <alignment horizontal="center"/>
    </xf>
    <xf numFmtId="179" fontId="24" fillId="0" borderId="0" xfId="17">
      <alignment horizontal="center"/>
    </xf>
    <xf numFmtId="0" fontId="3" fillId="0" borderId="0" xfId="15"/>
    <xf numFmtId="164" fontId="16" fillId="3" borderId="1" xfId="10" applyNumberFormat="1" applyProtection="1">
      <protection locked="0"/>
    </xf>
    <xf numFmtId="165" fontId="16" fillId="3" borderId="1" xfId="10" applyNumberFormat="1"/>
    <xf numFmtId="0" fontId="14" fillId="0" borderId="0" xfId="7"/>
    <xf numFmtId="0" fontId="15" fillId="0" borderId="0" xfId="9"/>
    <xf numFmtId="173" fontId="16" fillId="3" borderId="1" xfId="41"/>
    <xf numFmtId="41" fontId="25" fillId="4" borderId="4" xfId="14" applyNumberFormat="1">
      <protection locked="0"/>
    </xf>
    <xf numFmtId="175" fontId="0" fillId="0" borderId="0" xfId="1" applyFont="1"/>
    <xf numFmtId="176" fontId="0" fillId="0" borderId="0" xfId="3" applyNumberFormat="1" applyFont="1"/>
    <xf numFmtId="177" fontId="0" fillId="0" borderId="0" xfId="4" applyNumberFormat="1" applyFont="1"/>
    <xf numFmtId="178" fontId="23" fillId="0" borderId="0" xfId="16" applyNumberFormat="1" applyBorder="1">
      <alignment horizontal="center"/>
    </xf>
    <xf numFmtId="179" fontId="24" fillId="0" borderId="0" xfId="17" applyBorder="1">
      <alignment horizontal="center"/>
    </xf>
    <xf numFmtId="167" fontId="0" fillId="0" borderId="0" xfId="0" applyNumberFormat="1"/>
    <xf numFmtId="178" fontId="26" fillId="0" borderId="3" xfId="13" applyNumberFormat="1">
      <alignment horizontal="center"/>
    </xf>
    <xf numFmtId="9" fontId="0" fillId="0" borderId="13" xfId="5" applyFont="1" applyBorder="1"/>
    <xf numFmtId="9" fontId="0" fillId="0" borderId="15" xfId="5" applyFont="1" applyBorder="1"/>
    <xf numFmtId="0" fontId="0" fillId="0" borderId="15" xfId="0" applyBorder="1"/>
    <xf numFmtId="0" fontId="0" fillId="0" borderId="13" xfId="0" applyBorder="1"/>
    <xf numFmtId="0" fontId="25" fillId="4" borderId="2" xfId="14" applyBorder="1">
      <protection locked="0"/>
    </xf>
    <xf numFmtId="0" fontId="0" fillId="0" borderId="2" xfId="0" applyBorder="1"/>
    <xf numFmtId="0" fontId="13" fillId="11" borderId="14" xfId="33" applyBorder="1">
      <alignment horizontal="center"/>
    </xf>
    <xf numFmtId="0" fontId="13" fillId="11" borderId="2" xfId="33" applyBorder="1">
      <alignment horizontal="center"/>
    </xf>
    <xf numFmtId="0" fontId="13" fillId="11" borderId="17" xfId="33" applyBorder="1">
      <alignment horizontal="center"/>
    </xf>
    <xf numFmtId="0" fontId="13" fillId="11" borderId="18" xfId="33" applyBorder="1">
      <alignment horizontal="center"/>
    </xf>
    <xf numFmtId="0" fontId="13" fillId="11" borderId="16" xfId="33" applyBorder="1">
      <alignment horizontal="center"/>
    </xf>
    <xf numFmtId="0" fontId="25" fillId="4" borderId="19" xfId="14" applyBorder="1">
      <protection locked="0"/>
    </xf>
    <xf numFmtId="0" fontId="26" fillId="7" borderId="2" xfId="27" applyProtection="1">
      <protection locked="0"/>
    </xf>
    <xf numFmtId="0" fontId="11" fillId="0" borderId="0" xfId="6" applyFont="1" applyAlignment="1">
      <alignment horizontal="left" vertical="center"/>
    </xf>
    <xf numFmtId="0" fontId="27" fillId="0" borderId="0" xfId="8">
      <alignment horizontal="left"/>
      <protection locked="0"/>
    </xf>
    <xf numFmtId="0" fontId="0" fillId="0" borderId="0" xfId="0"/>
    <xf numFmtId="0" fontId="13" fillId="11" borderId="0" xfId="33">
      <alignment horizontal="center"/>
    </xf>
    <xf numFmtId="0" fontId="26" fillId="0" borderId="3" xfId="13" applyAlignment="1">
      <alignment horizontal="left"/>
    </xf>
    <xf numFmtId="0" fontId="25" fillId="4" borderId="4" xfId="14" applyAlignment="1">
      <alignment horizontal="left"/>
      <protection locked="0"/>
    </xf>
  </cellXfs>
  <cellStyles count="42">
    <cellStyle name="Accounts Ref" xfId="15" xr:uid="{00000000-0005-0000-0000-000000000000}"/>
    <cellStyle name="Assumption" xfId="14" xr:uid="{00000000-0005-0000-0000-000001000000}"/>
    <cellStyle name="Comma" xfId="1" builtinId="3" customBuiltin="1"/>
    <cellStyle name="Comma [0]" xfId="2" builtinId="6" customBuiltin="1"/>
    <cellStyle name="Constraint" xfId="13" xr:uid="{00000000-0005-0000-0000-000004000000}"/>
    <cellStyle name="Currency" xfId="3" builtinId="4"/>
    <cellStyle name="Currency [0]" xfId="4" builtinId="7"/>
    <cellStyle name="Date" xfId="16" xr:uid="{00000000-0005-0000-0000-000007000000}"/>
    <cellStyle name="Date Heading" xfId="17" xr:uid="{00000000-0005-0000-0000-000008000000}"/>
    <cellStyle name="Empty" xfId="18" xr:uid="{00000000-0005-0000-0000-000009000000}"/>
    <cellStyle name="Error_Checks" xfId="19" xr:uid="{00000000-0005-0000-0000-00000A000000}"/>
    <cellStyle name="Heading 1" xfId="37" builtinId="16" customBuiltin="1"/>
    <cellStyle name="Heading 1 Number" xfId="41" xr:uid="{00000000-0005-0000-0000-00000C000000}"/>
    <cellStyle name="Heading 1 Text" xfId="10" xr:uid="{00000000-0005-0000-0000-00000D000000}"/>
    <cellStyle name="Heading 2" xfId="38" builtinId="17" customBuiltin="1"/>
    <cellStyle name="Heading 2 Text" xfId="11" xr:uid="{00000000-0005-0000-0000-00000F000000}"/>
    <cellStyle name="Heading 3" xfId="39" builtinId="18" customBuiltin="1"/>
    <cellStyle name="Heading 3 Text" xfId="12" xr:uid="{00000000-0005-0000-0000-000011000000}"/>
    <cellStyle name="Heading 4" xfId="6" builtinId="19" customBuiltin="1"/>
    <cellStyle name="Hyperlink" xfId="8" builtinId="8" customBuiltin="1"/>
    <cellStyle name="Hyperlink Text" xfId="20" xr:uid="{00000000-0005-0000-0000-000014000000}"/>
    <cellStyle name="Internal Ref" xfId="21" xr:uid="{00000000-0005-0000-0000-000015000000}"/>
    <cellStyle name="Line Calc" xfId="22" xr:uid="{00000000-0005-0000-0000-000016000000}"/>
    <cellStyle name="Line Total" xfId="23" xr:uid="{00000000-0005-0000-0000-000017000000}"/>
    <cellStyle name="Model Name" xfId="9" xr:uid="{00000000-0005-0000-0000-000018000000}"/>
    <cellStyle name="Normal" xfId="0" builtinId="0" customBuiltin="1"/>
    <cellStyle name="Normal 2" xfId="24" xr:uid="{00000000-0005-0000-0000-00001A000000}"/>
    <cellStyle name="Notes" xfId="25" xr:uid="{00000000-0005-0000-0000-00001B000000}"/>
    <cellStyle name="Numbers 0" xfId="26" xr:uid="{00000000-0005-0000-0000-00001C000000}"/>
    <cellStyle name="Parameter" xfId="27" xr:uid="{00000000-0005-0000-0000-00001D000000}"/>
    <cellStyle name="Percent" xfId="5" builtinId="5"/>
    <cellStyle name="Range Name Description" xfId="28" xr:uid="{00000000-0005-0000-0000-00001F000000}"/>
    <cellStyle name="Right Currency" xfId="29" xr:uid="{00000000-0005-0000-0000-000020000000}"/>
    <cellStyle name="Right Number" xfId="30" xr:uid="{00000000-0005-0000-0000-000021000000}"/>
    <cellStyle name="Row Ref" xfId="31" xr:uid="{00000000-0005-0000-0000-000022000000}"/>
    <cellStyle name="Row_Summary" xfId="32" xr:uid="{00000000-0005-0000-0000-000023000000}"/>
    <cellStyle name="Sheet Title" xfId="7" xr:uid="{00000000-0005-0000-0000-000024000000}"/>
    <cellStyle name="Table_Heading" xfId="33" xr:uid="{00000000-0005-0000-0000-000025000000}"/>
    <cellStyle name="Title" xfId="36" builtinId="15" customBuiltin="1"/>
    <cellStyle name="Total" xfId="40" builtinId="25" customBuiltin="1"/>
    <cellStyle name="Units" xfId="34" xr:uid="{00000000-0005-0000-0000-000028000000}"/>
    <cellStyle name="WIP" xfId="35" xr:uid="{00000000-0005-0000-0000-000029000000}"/>
  </cellStyles>
  <dxfs count="29">
    <dxf>
      <numFmt numFmtId="167" formatCode="[$-C09]dd\-mmm\-yy;@"/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1" tint="0.49998474074526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Table Style 1" pivot="0" count="3" xr9:uid="{00000000-0011-0000-FFFF-FFFF00000000}">
      <tableStyleElement type="headerRow" dxfId="28"/>
      <tableStyleElement type="firstRowStripe" dxfId="27"/>
      <tableStyleElement type="secondRowStripe" dxfId="26"/>
    </tableStyle>
  </tableStyles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Stacked Column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'Vertical Raincloud - 1 Cloud'!$I$22</c:f>
              <c:strCache>
                <c:ptCount val="1"/>
                <c:pt idx="0">
                  <c:v>Base 25th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'Vertical Raincloud - 1 Cloud'!$J$21</c:f>
              <c:strCache>
                <c:ptCount val="1"/>
                <c:pt idx="0">
                  <c:v>Stacked: Cloud 1</c:v>
                </c:pt>
              </c:strCache>
            </c:strRef>
          </c:cat>
          <c:val>
            <c:numRef>
              <c:f>'Vertical Raincloud - 1 Cloud'!$J$22</c:f>
              <c:numCache>
                <c:formatCode>General</c:formatCode>
                <c:ptCount val="1"/>
                <c:pt idx="0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7-45CF-BD86-05840D7E8E54}"/>
            </c:ext>
          </c:extLst>
        </c:ser>
        <c:ser>
          <c:idx val="1"/>
          <c:order val="1"/>
          <c:tx>
            <c:strRef>
              <c:f>'Vertical Raincloud - 1 Cloud'!$I$23</c:f>
              <c:strCache>
                <c:ptCount val="1"/>
                <c:pt idx="0">
                  <c:v>Bottom 25-50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'Vertical Raincloud - 1 Cloud'!$J$21</c:f>
              <c:strCache>
                <c:ptCount val="1"/>
                <c:pt idx="0">
                  <c:v>Stacked: Cloud 1</c:v>
                </c:pt>
              </c:strCache>
            </c:strRef>
          </c:cat>
          <c:val>
            <c:numRef>
              <c:f>'Vertical Raincloud - 1 Cloud'!$J$23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E7-45CF-BD86-05840D7E8E54}"/>
            </c:ext>
          </c:extLst>
        </c:ser>
        <c:ser>
          <c:idx val="2"/>
          <c:order val="2"/>
          <c:tx>
            <c:strRef>
              <c:f>'Vertical Raincloud - 1 Cloud'!$I$24</c:f>
              <c:strCache>
                <c:ptCount val="1"/>
                <c:pt idx="0">
                  <c:v>Top 50-75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'Vertical Raincloud - 1 Cloud'!$J$21</c:f>
              <c:strCache>
                <c:ptCount val="1"/>
                <c:pt idx="0">
                  <c:v>Stacked: Cloud 1</c:v>
                </c:pt>
              </c:strCache>
            </c:strRef>
          </c:cat>
          <c:val>
            <c:numRef>
              <c:f>'Vertical Raincloud - 1 Cloud'!$J$24</c:f>
              <c:numCache>
                <c:formatCode>General</c:formatCode>
                <c:ptCount val="1"/>
                <c:pt idx="0">
                  <c:v>21.25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E7-45CF-BD86-05840D7E8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4676959"/>
        <c:axId val="2134670303"/>
      </c:barChart>
      <c:catAx>
        <c:axId val="2134676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70303"/>
        <c:crosses val="autoZero"/>
        <c:auto val="1"/>
        <c:lblAlgn val="ctr"/>
        <c:lblOffset val="100"/>
        <c:noMultiLvlLbl val="0"/>
      </c:catAx>
      <c:valAx>
        <c:axId val="2134670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7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Cloud 1: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'Vertical Raincloud - 1 Cloud'!$G$9</c:f>
              <c:strCache>
                <c:ptCount val="1"/>
                <c:pt idx="0">
                  <c:v>Cloud 1: Distribution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'Vertical Raincloud - 1 Cloud'!$F$10:$F$69</c:f>
              <c:numCache>
                <c:formatCode>General</c:formatCode>
                <c:ptCount val="6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1.6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1.6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1.6</c:v>
                </c:pt>
                <c:pt idx="19">
                  <c:v>1.5</c:v>
                </c:pt>
                <c:pt idx="20">
                  <c:v>1.5</c:v>
                </c:pt>
                <c:pt idx="21">
                  <c:v>1.5</c:v>
                </c:pt>
                <c:pt idx="22">
                  <c:v>1.6</c:v>
                </c:pt>
                <c:pt idx="23">
                  <c:v>1.7000000000000002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1.6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1.5</c:v>
                </c:pt>
                <c:pt idx="33">
                  <c:v>1.5</c:v>
                </c:pt>
                <c:pt idx="34">
                  <c:v>1.5</c:v>
                </c:pt>
                <c:pt idx="35">
                  <c:v>1.5</c:v>
                </c:pt>
                <c:pt idx="36">
                  <c:v>1.5</c:v>
                </c:pt>
                <c:pt idx="37">
                  <c:v>1.5</c:v>
                </c:pt>
                <c:pt idx="38">
                  <c:v>1.5</c:v>
                </c:pt>
                <c:pt idx="39">
                  <c:v>1.5</c:v>
                </c:pt>
                <c:pt idx="40">
                  <c:v>1.5</c:v>
                </c:pt>
                <c:pt idx="41">
                  <c:v>1.6</c:v>
                </c:pt>
                <c:pt idx="42">
                  <c:v>1.5</c:v>
                </c:pt>
                <c:pt idx="43">
                  <c:v>1.6</c:v>
                </c:pt>
                <c:pt idx="44">
                  <c:v>1.7000000000000002</c:v>
                </c:pt>
                <c:pt idx="45">
                  <c:v>1.5</c:v>
                </c:pt>
                <c:pt idx="46">
                  <c:v>1.6</c:v>
                </c:pt>
                <c:pt idx="47">
                  <c:v>1.7000000000000002</c:v>
                </c:pt>
                <c:pt idx="48">
                  <c:v>1.8000000000000003</c:v>
                </c:pt>
                <c:pt idx="49">
                  <c:v>1.9000000000000004</c:v>
                </c:pt>
                <c:pt idx="50">
                  <c:v>1.5</c:v>
                </c:pt>
                <c:pt idx="51">
                  <c:v>1.6</c:v>
                </c:pt>
                <c:pt idx="52">
                  <c:v>1.5</c:v>
                </c:pt>
                <c:pt idx="53">
                  <c:v>1.6</c:v>
                </c:pt>
                <c:pt idx="54">
                  <c:v>1.5</c:v>
                </c:pt>
                <c:pt idx="55">
                  <c:v>1.6</c:v>
                </c:pt>
                <c:pt idx="56">
                  <c:v>1.7000000000000002</c:v>
                </c:pt>
                <c:pt idx="57">
                  <c:v>1.5</c:v>
                </c:pt>
                <c:pt idx="58">
                  <c:v>1.6</c:v>
                </c:pt>
                <c:pt idx="59">
                  <c:v>1.5</c:v>
                </c:pt>
              </c:numCache>
            </c:numRef>
          </c:xVal>
          <c:yVal>
            <c:numRef>
              <c:f>'Vertical Raincloud - 1 Cloud'!$G$10:$G$69</c:f>
              <c:numCache>
                <c:formatCode>General</c:formatCode>
                <c:ptCount val="60"/>
                <c:pt idx="0">
                  <c:v>27</c:v>
                </c:pt>
                <c:pt idx="1">
                  <c:v>18</c:v>
                </c:pt>
                <c:pt idx="2">
                  <c:v>95</c:v>
                </c:pt>
                <c:pt idx="3">
                  <c:v>90</c:v>
                </c:pt>
                <c:pt idx="4">
                  <c:v>53</c:v>
                </c:pt>
                <c:pt idx="5">
                  <c:v>17</c:v>
                </c:pt>
                <c:pt idx="6">
                  <c:v>92</c:v>
                </c:pt>
                <c:pt idx="7">
                  <c:v>93</c:v>
                </c:pt>
                <c:pt idx="8">
                  <c:v>18</c:v>
                </c:pt>
                <c:pt idx="9">
                  <c:v>15</c:v>
                </c:pt>
                <c:pt idx="10">
                  <c:v>31</c:v>
                </c:pt>
                <c:pt idx="11">
                  <c:v>9</c:v>
                </c:pt>
                <c:pt idx="12">
                  <c:v>27</c:v>
                </c:pt>
                <c:pt idx="13">
                  <c:v>29</c:v>
                </c:pt>
                <c:pt idx="14">
                  <c:v>70</c:v>
                </c:pt>
                <c:pt idx="15">
                  <c:v>12</c:v>
                </c:pt>
                <c:pt idx="16">
                  <c:v>43</c:v>
                </c:pt>
                <c:pt idx="17">
                  <c:v>39</c:v>
                </c:pt>
                <c:pt idx="18">
                  <c:v>53</c:v>
                </c:pt>
                <c:pt idx="19">
                  <c:v>68</c:v>
                </c:pt>
                <c:pt idx="20">
                  <c:v>60</c:v>
                </c:pt>
                <c:pt idx="21">
                  <c:v>8</c:v>
                </c:pt>
                <c:pt idx="22">
                  <c:v>8</c:v>
                </c:pt>
                <c:pt idx="23">
                  <c:v>31</c:v>
                </c:pt>
                <c:pt idx="24">
                  <c:v>19</c:v>
                </c:pt>
                <c:pt idx="25">
                  <c:v>56</c:v>
                </c:pt>
                <c:pt idx="26">
                  <c:v>67</c:v>
                </c:pt>
                <c:pt idx="27">
                  <c:v>90</c:v>
                </c:pt>
                <c:pt idx="28">
                  <c:v>28</c:v>
                </c:pt>
                <c:pt idx="29">
                  <c:v>11</c:v>
                </c:pt>
                <c:pt idx="30">
                  <c:v>62</c:v>
                </c:pt>
                <c:pt idx="31">
                  <c:v>50</c:v>
                </c:pt>
                <c:pt idx="32">
                  <c:v>48</c:v>
                </c:pt>
                <c:pt idx="33">
                  <c:v>21</c:v>
                </c:pt>
                <c:pt idx="34">
                  <c:v>51</c:v>
                </c:pt>
                <c:pt idx="35">
                  <c:v>33</c:v>
                </c:pt>
                <c:pt idx="36">
                  <c:v>13</c:v>
                </c:pt>
                <c:pt idx="37">
                  <c:v>63</c:v>
                </c:pt>
                <c:pt idx="38">
                  <c:v>73</c:v>
                </c:pt>
                <c:pt idx="39">
                  <c:v>99</c:v>
                </c:pt>
                <c:pt idx="40">
                  <c:v>38</c:v>
                </c:pt>
                <c:pt idx="41">
                  <c:v>67</c:v>
                </c:pt>
                <c:pt idx="42">
                  <c:v>1</c:v>
                </c:pt>
                <c:pt idx="43">
                  <c:v>68</c:v>
                </c:pt>
                <c:pt idx="44">
                  <c:v>12</c:v>
                </c:pt>
                <c:pt idx="45">
                  <c:v>10</c:v>
                </c:pt>
                <c:pt idx="46">
                  <c:v>92</c:v>
                </c:pt>
                <c:pt idx="47">
                  <c:v>68</c:v>
                </c:pt>
                <c:pt idx="48">
                  <c:v>29</c:v>
                </c:pt>
                <c:pt idx="49">
                  <c:v>31</c:v>
                </c:pt>
                <c:pt idx="50">
                  <c:v>34</c:v>
                </c:pt>
                <c:pt idx="51">
                  <c:v>12</c:v>
                </c:pt>
                <c:pt idx="52">
                  <c:v>78</c:v>
                </c:pt>
                <c:pt idx="53">
                  <c:v>28</c:v>
                </c:pt>
                <c:pt idx="54">
                  <c:v>64</c:v>
                </c:pt>
                <c:pt idx="55">
                  <c:v>60</c:v>
                </c:pt>
                <c:pt idx="56">
                  <c:v>56</c:v>
                </c:pt>
                <c:pt idx="57">
                  <c:v>52</c:v>
                </c:pt>
                <c:pt idx="58">
                  <c:v>48</c:v>
                </c:pt>
                <c:pt idx="59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E-4CFF-B3CA-E73BE402A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879887"/>
        <c:axId val="2134860751"/>
      </c:scatterChart>
      <c:valAx>
        <c:axId val="213487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860751"/>
        <c:crosses val="autoZero"/>
        <c:crossBetween val="midCat"/>
      </c:valAx>
      <c:valAx>
        <c:axId val="2134860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879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Bar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'Vertical Raincloud - 1 Cloud'!$O$39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'Vertical Raincloud - 1 Cloud'!$J$30</c:f>
                <c:numCache>
                  <c:formatCode>General</c:formatCode>
                  <c:ptCount val="1"/>
                  <c:pt idx="0">
                    <c:v>46.5</c:v>
                  </c:pt>
                </c:numCache>
              </c:numRef>
            </c:plus>
            <c:minus>
              <c:numRef>
                <c:f>'Vertical Raincloud - 1 Cloud'!$J$31</c:f>
                <c:numCache>
                  <c:formatCode>General</c:formatCode>
                  <c:ptCount val="1"/>
                  <c:pt idx="0">
                    <c:v>31.6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'Vertical Raincloud - 1 Cloud'!$J$26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'Vertical Raincloud - 1 Cloud'!$J$27</c:f>
              <c:numCache>
                <c:formatCode>General</c:formatCode>
                <c:ptCount val="1"/>
                <c:pt idx="0">
                  <c:v>43.5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F0-4818-930F-B15303C1F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0693887"/>
        <c:axId val="2030697631"/>
      </c:scatterChart>
      <c:valAx>
        <c:axId val="2030693887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697631"/>
        <c:crosses val="autoZero"/>
        <c:crossBetween val="midCat"/>
      </c:valAx>
      <c:valAx>
        <c:axId val="203069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693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Vertical</a:t>
            </a:r>
            <a:r>
              <a:rPr lang="en-US" baseline="0"/>
              <a:t> Raincloud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'Vertical Raincloud - 1 Cloud'!$I$22</c:f>
              <c:strCache>
                <c:ptCount val="1"/>
                <c:pt idx="0">
                  <c:v>Base 25th</c:v>
                </c:pt>
              </c:strCache>
            </c:strRef>
          </c:tx>
          <c:spPr>
            <a:noFill/>
          </c:spPr>
          <c:invertIfNegative val="0"/>
          <c:cat>
            <c:strRef>
              <c:f>'Vertical Raincloud - 1 Cloud'!$J$21</c:f>
              <c:strCache>
                <c:ptCount val="1"/>
                <c:pt idx="0">
                  <c:v>Stacked: Cloud 1</c:v>
                </c:pt>
              </c:strCache>
            </c:strRef>
          </c:cat>
          <c:val>
            <c:numRef>
              <c:f>'Vertical Raincloud - 1 Cloud'!$J$22</c:f>
              <c:numCache>
                <c:formatCode>General</c:formatCode>
                <c:ptCount val="1"/>
                <c:pt idx="0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3784-471C-8E33-992314744473}"/>
            </c:ext>
          </c:extLst>
        </c:ser>
        <c:ser>
          <c:idx val="2"/>
          <c:order val="1"/>
          <c:tx>
            <c:strRef>
              <c:f>'Vertical Raincloud - 1 Cloud'!$I$23</c:f>
              <c:strCache>
                <c:ptCount val="1"/>
                <c:pt idx="0">
                  <c:v>Bottom 25-50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'Vertical Raincloud - 1 Cloud'!$J$21</c:f>
              <c:strCache>
                <c:ptCount val="1"/>
                <c:pt idx="0">
                  <c:v>Stacked: Cloud 1</c:v>
                </c:pt>
              </c:strCache>
            </c:strRef>
          </c:cat>
          <c:val>
            <c:numRef>
              <c:f>'Vertical Raincloud - 1 Cloud'!$J$23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3784-471C-8E33-992314744473}"/>
            </c:ext>
          </c:extLst>
        </c:ser>
        <c:ser>
          <c:idx val="3"/>
          <c:order val="2"/>
          <c:tx>
            <c:strRef>
              <c:f>'Vertical Raincloud - 1 Cloud'!$I$24</c:f>
              <c:strCache>
                <c:ptCount val="1"/>
                <c:pt idx="0">
                  <c:v>Top 50-75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'Vertical Raincloud - 1 Cloud'!$J$21</c:f>
              <c:strCache>
                <c:ptCount val="1"/>
                <c:pt idx="0">
                  <c:v>Stacked: Cloud 1</c:v>
                </c:pt>
              </c:strCache>
            </c:strRef>
          </c:cat>
          <c:val>
            <c:numRef>
              <c:f>'Vertical Raincloud - 1 Cloud'!$J$24</c:f>
              <c:numCache>
                <c:formatCode>General</c:formatCode>
                <c:ptCount val="1"/>
                <c:pt idx="0">
                  <c:v>21.25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3784-471C-8E33-992314744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4879887"/>
        <c:axId val="2134860751"/>
      </c:barChart>
      <c:scatterChart>
        <c:scatterStyle val="lineMarker"/>
        <c:varyColors val="0"/>
        <c:ser>
          <c:idx val="4"/>
          <c:order val="3"/>
          <c:tx>
            <c:strRef>
              <c:f>'Vertical Raincloud - 1 Cloud'!$O$39</c:f>
              <c:strCache>
                <c:ptCount val="1"/>
              </c:strCache>
            </c:strRef>
          </c:tx>
          <c:spPr>
            <a:ln w="28575">
              <a:noFill/>
            </a:ln>
            <a:effectLst/>
          </c:spPr>
          <c:errBars>
            <c:errDir val="y"/>
            <c:errBarType val="both"/>
            <c:errValType val="cust"/>
            <c:noEndCap val="0"/>
            <c:plus>
              <c:numRef>
                <c:f>'Vertical Raincloud - 1 Cloud'!$J$30</c:f>
                <c:numCache>
                  <c:formatCode>General</c:formatCode>
                  <c:ptCount val="1"/>
                  <c:pt idx="0">
                    <c:v>46.5</c:v>
                  </c:pt>
                </c:numCache>
              </c:numRef>
            </c:plus>
            <c:minus>
              <c:numRef>
                <c:f>'Vertical Raincloud - 1 Cloud'!$J$31</c:f>
                <c:numCache>
                  <c:formatCode>General</c:formatCode>
                  <c:ptCount val="1"/>
                  <c:pt idx="0">
                    <c:v>31.6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'Vertical Raincloud - 1 Cloud'!$J$26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'Vertical Raincloud - 1 Cloud'!$J$27</c:f>
              <c:numCache>
                <c:formatCode>General</c:formatCode>
                <c:ptCount val="1"/>
                <c:pt idx="0">
                  <c:v>43.5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3784-471C-8E33-992314744473}"/>
            </c:ext>
          </c:extLst>
        </c:ser>
        <c:ser>
          <c:idx val="0"/>
          <c:order val="4"/>
          <c:tx>
            <c:strRef>
              <c:f>'Vertical Raincloud - 1 Cloud'!$G$9</c:f>
              <c:strCache>
                <c:ptCount val="1"/>
                <c:pt idx="0">
                  <c:v>Cloud 1: Distribution</c:v>
                </c:pt>
              </c:strCache>
            </c:strRef>
          </c:tx>
          <c:spPr>
            <a:ln w="28575">
              <a:noFill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'Vertical Raincloud - 1 Cloud'!$F$10:$F$69</c:f>
              <c:numCache>
                <c:formatCode>General</c:formatCode>
                <c:ptCount val="6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1.6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1.6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1.6</c:v>
                </c:pt>
                <c:pt idx="19">
                  <c:v>1.5</c:v>
                </c:pt>
                <c:pt idx="20">
                  <c:v>1.5</c:v>
                </c:pt>
                <c:pt idx="21">
                  <c:v>1.5</c:v>
                </c:pt>
                <c:pt idx="22">
                  <c:v>1.6</c:v>
                </c:pt>
                <c:pt idx="23">
                  <c:v>1.7000000000000002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1.6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1.5</c:v>
                </c:pt>
                <c:pt idx="33">
                  <c:v>1.5</c:v>
                </c:pt>
                <c:pt idx="34">
                  <c:v>1.5</c:v>
                </c:pt>
                <c:pt idx="35">
                  <c:v>1.5</c:v>
                </c:pt>
                <c:pt idx="36">
                  <c:v>1.5</c:v>
                </c:pt>
                <c:pt idx="37">
                  <c:v>1.5</c:v>
                </c:pt>
                <c:pt idx="38">
                  <c:v>1.5</c:v>
                </c:pt>
                <c:pt idx="39">
                  <c:v>1.5</c:v>
                </c:pt>
                <c:pt idx="40">
                  <c:v>1.5</c:v>
                </c:pt>
                <c:pt idx="41">
                  <c:v>1.6</c:v>
                </c:pt>
                <c:pt idx="42">
                  <c:v>1.5</c:v>
                </c:pt>
                <c:pt idx="43">
                  <c:v>1.6</c:v>
                </c:pt>
                <c:pt idx="44">
                  <c:v>1.7000000000000002</c:v>
                </c:pt>
                <c:pt idx="45">
                  <c:v>1.5</c:v>
                </c:pt>
                <c:pt idx="46">
                  <c:v>1.6</c:v>
                </c:pt>
                <c:pt idx="47">
                  <c:v>1.7000000000000002</c:v>
                </c:pt>
                <c:pt idx="48">
                  <c:v>1.8000000000000003</c:v>
                </c:pt>
                <c:pt idx="49">
                  <c:v>1.9000000000000004</c:v>
                </c:pt>
                <c:pt idx="50">
                  <c:v>1.5</c:v>
                </c:pt>
                <c:pt idx="51">
                  <c:v>1.6</c:v>
                </c:pt>
                <c:pt idx="52">
                  <c:v>1.5</c:v>
                </c:pt>
                <c:pt idx="53">
                  <c:v>1.6</c:v>
                </c:pt>
                <c:pt idx="54">
                  <c:v>1.5</c:v>
                </c:pt>
                <c:pt idx="55">
                  <c:v>1.6</c:v>
                </c:pt>
                <c:pt idx="56">
                  <c:v>1.7000000000000002</c:v>
                </c:pt>
                <c:pt idx="57">
                  <c:v>1.5</c:v>
                </c:pt>
                <c:pt idx="58">
                  <c:v>1.6</c:v>
                </c:pt>
                <c:pt idx="59">
                  <c:v>1.5</c:v>
                </c:pt>
              </c:numCache>
            </c:numRef>
          </c:xVal>
          <c:yVal>
            <c:numRef>
              <c:f>'Vertical Raincloud - 1 Cloud'!$G$10:$G$69</c:f>
              <c:numCache>
                <c:formatCode>General</c:formatCode>
                <c:ptCount val="60"/>
                <c:pt idx="0">
                  <c:v>27</c:v>
                </c:pt>
                <c:pt idx="1">
                  <c:v>18</c:v>
                </c:pt>
                <c:pt idx="2">
                  <c:v>95</c:v>
                </c:pt>
                <c:pt idx="3">
                  <c:v>90</c:v>
                </c:pt>
                <c:pt idx="4">
                  <c:v>53</c:v>
                </c:pt>
                <c:pt idx="5">
                  <c:v>17</c:v>
                </c:pt>
                <c:pt idx="6">
                  <c:v>92</c:v>
                </c:pt>
                <c:pt idx="7">
                  <c:v>93</c:v>
                </c:pt>
                <c:pt idx="8">
                  <c:v>18</c:v>
                </c:pt>
                <c:pt idx="9">
                  <c:v>15</c:v>
                </c:pt>
                <c:pt idx="10">
                  <c:v>31</c:v>
                </c:pt>
                <c:pt idx="11">
                  <c:v>9</c:v>
                </c:pt>
                <c:pt idx="12">
                  <c:v>27</c:v>
                </c:pt>
                <c:pt idx="13">
                  <c:v>29</c:v>
                </c:pt>
                <c:pt idx="14">
                  <c:v>70</c:v>
                </c:pt>
                <c:pt idx="15">
                  <c:v>12</c:v>
                </c:pt>
                <c:pt idx="16">
                  <c:v>43</c:v>
                </c:pt>
                <c:pt idx="17">
                  <c:v>39</c:v>
                </c:pt>
                <c:pt idx="18">
                  <c:v>53</c:v>
                </c:pt>
                <c:pt idx="19">
                  <c:v>68</c:v>
                </c:pt>
                <c:pt idx="20">
                  <c:v>60</c:v>
                </c:pt>
                <c:pt idx="21">
                  <c:v>8</c:v>
                </c:pt>
                <c:pt idx="22">
                  <c:v>8</c:v>
                </c:pt>
                <c:pt idx="23">
                  <c:v>31</c:v>
                </c:pt>
                <c:pt idx="24">
                  <c:v>19</c:v>
                </c:pt>
                <c:pt idx="25">
                  <c:v>56</c:v>
                </c:pt>
                <c:pt idx="26">
                  <c:v>67</c:v>
                </c:pt>
                <c:pt idx="27">
                  <c:v>90</c:v>
                </c:pt>
                <c:pt idx="28">
                  <c:v>28</c:v>
                </c:pt>
                <c:pt idx="29">
                  <c:v>11</c:v>
                </c:pt>
                <c:pt idx="30">
                  <c:v>62</c:v>
                </c:pt>
                <c:pt idx="31">
                  <c:v>50</c:v>
                </c:pt>
                <c:pt idx="32">
                  <c:v>48</c:v>
                </c:pt>
                <c:pt idx="33">
                  <c:v>21</c:v>
                </c:pt>
                <c:pt idx="34">
                  <c:v>51</c:v>
                </c:pt>
                <c:pt idx="35">
                  <c:v>33</c:v>
                </c:pt>
                <c:pt idx="36">
                  <c:v>13</c:v>
                </c:pt>
                <c:pt idx="37">
                  <c:v>63</c:v>
                </c:pt>
                <c:pt idx="38">
                  <c:v>73</c:v>
                </c:pt>
                <c:pt idx="39">
                  <c:v>99</c:v>
                </c:pt>
                <c:pt idx="40">
                  <c:v>38</c:v>
                </c:pt>
                <c:pt idx="41">
                  <c:v>67</c:v>
                </c:pt>
                <c:pt idx="42">
                  <c:v>1</c:v>
                </c:pt>
                <c:pt idx="43">
                  <c:v>68</c:v>
                </c:pt>
                <c:pt idx="44">
                  <c:v>12</c:v>
                </c:pt>
                <c:pt idx="45">
                  <c:v>10</c:v>
                </c:pt>
                <c:pt idx="46">
                  <c:v>92</c:v>
                </c:pt>
                <c:pt idx="47">
                  <c:v>68</c:v>
                </c:pt>
                <c:pt idx="48">
                  <c:v>29</c:v>
                </c:pt>
                <c:pt idx="49">
                  <c:v>31</c:v>
                </c:pt>
                <c:pt idx="50">
                  <c:v>34</c:v>
                </c:pt>
                <c:pt idx="51">
                  <c:v>12</c:v>
                </c:pt>
                <c:pt idx="52">
                  <c:v>78</c:v>
                </c:pt>
                <c:pt idx="53">
                  <c:v>28</c:v>
                </c:pt>
                <c:pt idx="54">
                  <c:v>64</c:v>
                </c:pt>
                <c:pt idx="55">
                  <c:v>60</c:v>
                </c:pt>
                <c:pt idx="56">
                  <c:v>56</c:v>
                </c:pt>
                <c:pt idx="57">
                  <c:v>52</c:v>
                </c:pt>
                <c:pt idx="58">
                  <c:v>48</c:v>
                </c:pt>
                <c:pt idx="59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3784-471C-8E33-992314744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879887"/>
        <c:axId val="2134860751"/>
      </c:scatterChart>
      <c:catAx>
        <c:axId val="213487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860751"/>
        <c:crosses val="autoZero"/>
        <c:auto val="1"/>
        <c:lblAlgn val="ctr"/>
        <c:lblOffset val="100"/>
        <c:noMultiLvlLbl val="0"/>
      </c:catAx>
      <c:valAx>
        <c:axId val="2134860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879887"/>
        <c:crosses val="autoZero"/>
        <c:crossBetween val="between"/>
      </c:valAx>
    </c:plotArea>
    <c:plotVisOnly val="1"/>
    <c:dispBlanksAs val="gap"/>
    <c:showDLblsOverMax val="0"/>
  </c:chart>
  <c:spPr>
    <a:ln>
      <a:solidFill>
        <a:srgbClr val="D9D9D9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Cloud 1: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'Vertical Raincloud - 3 Clouds'!$M$9</c:f>
              <c:strCache>
                <c:ptCount val="1"/>
                <c:pt idx="0">
                  <c:v>Cloud 1: Distribution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'Vertical Raincloud - 3 Clouds'!$J$10:$J$69</c:f>
              <c:numCache>
                <c:formatCode>General</c:formatCode>
                <c:ptCount val="6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1.6</c:v>
                </c:pt>
                <c:pt idx="18">
                  <c:v>1.7000000000000002</c:v>
                </c:pt>
                <c:pt idx="19">
                  <c:v>1.5</c:v>
                </c:pt>
                <c:pt idx="20">
                  <c:v>1.5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1.6</c:v>
                </c:pt>
                <c:pt idx="26">
                  <c:v>1.7000000000000002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1.6</c:v>
                </c:pt>
                <c:pt idx="33">
                  <c:v>1.7000000000000002</c:v>
                </c:pt>
                <c:pt idx="34">
                  <c:v>1.8000000000000003</c:v>
                </c:pt>
                <c:pt idx="35">
                  <c:v>1.5</c:v>
                </c:pt>
                <c:pt idx="36">
                  <c:v>1.6</c:v>
                </c:pt>
                <c:pt idx="37">
                  <c:v>1.7000000000000002</c:v>
                </c:pt>
                <c:pt idx="38">
                  <c:v>1.5</c:v>
                </c:pt>
                <c:pt idx="39">
                  <c:v>1.6</c:v>
                </c:pt>
                <c:pt idx="40">
                  <c:v>1.5</c:v>
                </c:pt>
                <c:pt idx="41">
                  <c:v>1.6</c:v>
                </c:pt>
                <c:pt idx="42">
                  <c:v>1.5</c:v>
                </c:pt>
                <c:pt idx="43">
                  <c:v>1.6</c:v>
                </c:pt>
                <c:pt idx="44">
                  <c:v>1.5</c:v>
                </c:pt>
                <c:pt idx="45">
                  <c:v>1.5</c:v>
                </c:pt>
                <c:pt idx="46">
                  <c:v>1.5</c:v>
                </c:pt>
                <c:pt idx="47">
                  <c:v>1.6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  <c:pt idx="51">
                  <c:v>1.5</c:v>
                </c:pt>
                <c:pt idx="52">
                  <c:v>1.5</c:v>
                </c:pt>
                <c:pt idx="53">
                  <c:v>1.6</c:v>
                </c:pt>
                <c:pt idx="54">
                  <c:v>1.5</c:v>
                </c:pt>
                <c:pt idx="55">
                  <c:v>1.6</c:v>
                </c:pt>
                <c:pt idx="56">
                  <c:v>1.7000000000000002</c:v>
                </c:pt>
                <c:pt idx="57">
                  <c:v>1.8000000000000003</c:v>
                </c:pt>
                <c:pt idx="58">
                  <c:v>1.9000000000000004</c:v>
                </c:pt>
                <c:pt idx="59">
                  <c:v>1.5</c:v>
                </c:pt>
              </c:numCache>
            </c:numRef>
          </c:xVal>
          <c:yVal>
            <c:numRef>
              <c:f>'Vertical Raincloud - 3 Clouds'!$M$10:$M$69</c:f>
              <c:numCache>
                <c:formatCode>General</c:formatCode>
                <c:ptCount val="60"/>
                <c:pt idx="0">
                  <c:v>12</c:v>
                </c:pt>
                <c:pt idx="1">
                  <c:v>99</c:v>
                </c:pt>
                <c:pt idx="2">
                  <c:v>52</c:v>
                </c:pt>
                <c:pt idx="3">
                  <c:v>28</c:v>
                </c:pt>
                <c:pt idx="4">
                  <c:v>38</c:v>
                </c:pt>
                <c:pt idx="5">
                  <c:v>50</c:v>
                </c:pt>
                <c:pt idx="6">
                  <c:v>67</c:v>
                </c:pt>
                <c:pt idx="7">
                  <c:v>48</c:v>
                </c:pt>
                <c:pt idx="8">
                  <c:v>33</c:v>
                </c:pt>
                <c:pt idx="9">
                  <c:v>29</c:v>
                </c:pt>
                <c:pt idx="10">
                  <c:v>34</c:v>
                </c:pt>
                <c:pt idx="11">
                  <c:v>68</c:v>
                </c:pt>
                <c:pt idx="12">
                  <c:v>62</c:v>
                </c:pt>
                <c:pt idx="13">
                  <c:v>64</c:v>
                </c:pt>
                <c:pt idx="14">
                  <c:v>92</c:v>
                </c:pt>
                <c:pt idx="15">
                  <c:v>8</c:v>
                </c:pt>
                <c:pt idx="16">
                  <c:v>60</c:v>
                </c:pt>
                <c:pt idx="17">
                  <c:v>12</c:v>
                </c:pt>
                <c:pt idx="18">
                  <c:v>48</c:v>
                </c:pt>
                <c:pt idx="19">
                  <c:v>31</c:v>
                </c:pt>
                <c:pt idx="20">
                  <c:v>18</c:v>
                </c:pt>
                <c:pt idx="21">
                  <c:v>56</c:v>
                </c:pt>
                <c:pt idx="22">
                  <c:v>90</c:v>
                </c:pt>
                <c:pt idx="23">
                  <c:v>10</c:v>
                </c:pt>
                <c:pt idx="24">
                  <c:v>9</c:v>
                </c:pt>
                <c:pt idx="25">
                  <c:v>92</c:v>
                </c:pt>
                <c:pt idx="26">
                  <c:v>31</c:v>
                </c:pt>
                <c:pt idx="27">
                  <c:v>13</c:v>
                </c:pt>
                <c:pt idx="28">
                  <c:v>93</c:v>
                </c:pt>
                <c:pt idx="29">
                  <c:v>95</c:v>
                </c:pt>
                <c:pt idx="30">
                  <c:v>11</c:v>
                </c:pt>
                <c:pt idx="31">
                  <c:v>27</c:v>
                </c:pt>
                <c:pt idx="32">
                  <c:v>31</c:v>
                </c:pt>
                <c:pt idx="33">
                  <c:v>67</c:v>
                </c:pt>
                <c:pt idx="34">
                  <c:v>68</c:v>
                </c:pt>
                <c:pt idx="35">
                  <c:v>19</c:v>
                </c:pt>
                <c:pt idx="36">
                  <c:v>28</c:v>
                </c:pt>
                <c:pt idx="37">
                  <c:v>29</c:v>
                </c:pt>
                <c:pt idx="38">
                  <c:v>17</c:v>
                </c:pt>
                <c:pt idx="39">
                  <c:v>18</c:v>
                </c:pt>
                <c:pt idx="40">
                  <c:v>44</c:v>
                </c:pt>
                <c:pt idx="41">
                  <c:v>60</c:v>
                </c:pt>
                <c:pt idx="42">
                  <c:v>43</c:v>
                </c:pt>
                <c:pt idx="43">
                  <c:v>68</c:v>
                </c:pt>
                <c:pt idx="44">
                  <c:v>39</c:v>
                </c:pt>
                <c:pt idx="45">
                  <c:v>15</c:v>
                </c:pt>
                <c:pt idx="46">
                  <c:v>21</c:v>
                </c:pt>
                <c:pt idx="47">
                  <c:v>8</c:v>
                </c:pt>
                <c:pt idx="48">
                  <c:v>53</c:v>
                </c:pt>
                <c:pt idx="49">
                  <c:v>1</c:v>
                </c:pt>
                <c:pt idx="50">
                  <c:v>63</c:v>
                </c:pt>
                <c:pt idx="51">
                  <c:v>73</c:v>
                </c:pt>
                <c:pt idx="52">
                  <c:v>78</c:v>
                </c:pt>
                <c:pt idx="53">
                  <c:v>90</c:v>
                </c:pt>
                <c:pt idx="54">
                  <c:v>51</c:v>
                </c:pt>
                <c:pt idx="55">
                  <c:v>27</c:v>
                </c:pt>
                <c:pt idx="56">
                  <c:v>56</c:v>
                </c:pt>
                <c:pt idx="57">
                  <c:v>12</c:v>
                </c:pt>
                <c:pt idx="58">
                  <c:v>53</c:v>
                </c:pt>
                <c:pt idx="59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8A-4B45-AF3F-F8C5FFDB8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879887"/>
        <c:axId val="2134860751"/>
      </c:scatterChart>
      <c:valAx>
        <c:axId val="2134879887"/>
        <c:scaling>
          <c:orientation val="minMax"/>
          <c:max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860751"/>
        <c:crosses val="autoZero"/>
        <c:crossBetween val="midCat"/>
      </c:valAx>
      <c:valAx>
        <c:axId val="2134860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879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Bar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'Vertical Raincloud - 3 Clouds'!$W$39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'Vertical Raincloud - 3 Clouds'!$R$30:$T$30</c:f>
                <c:numCache>
                  <c:formatCode>General</c:formatCode>
                  <c:ptCount val="3"/>
                  <c:pt idx="0">
                    <c:v>46.5</c:v>
                  </c:pt>
                  <c:pt idx="1">
                    <c:v>36.099999999999994</c:v>
                  </c:pt>
                  <c:pt idx="2">
                    <c:v>40.199999999999989</c:v>
                  </c:pt>
                </c:numCache>
              </c:numRef>
            </c:plus>
            <c:minus>
              <c:numRef>
                <c:f>'Vertical Raincloud - 3 Clouds'!$R$31:$T$31</c:f>
                <c:numCache>
                  <c:formatCode>General</c:formatCode>
                  <c:ptCount val="3"/>
                  <c:pt idx="0">
                    <c:v>31.6</c:v>
                  </c:pt>
                  <c:pt idx="1">
                    <c:v>42.2</c:v>
                  </c:pt>
                  <c:pt idx="2">
                    <c:v>39.199999999999989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'Vertical Raincloud - 3 Clouds'!$R$26:$T$26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'Vertical Raincloud - 3 Clouds'!$R$27:$T$27</c:f>
              <c:numCache>
                <c:formatCode>General</c:formatCode>
                <c:ptCount val="3"/>
                <c:pt idx="0">
                  <c:v>43.5</c:v>
                </c:pt>
                <c:pt idx="1">
                  <c:v>155</c:v>
                </c:pt>
                <c:pt idx="2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CB-4D42-AFC3-C4D4F1CDB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0693887"/>
        <c:axId val="2030697631"/>
      </c:scatterChart>
      <c:valAx>
        <c:axId val="2030693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697631"/>
        <c:crosses val="autoZero"/>
        <c:crossBetween val="midCat"/>
      </c:valAx>
      <c:valAx>
        <c:axId val="203069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693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'Vertical Raincloud - 3 Clouds'!$N$9</c:f>
              <c:strCache>
                <c:ptCount val="1"/>
                <c:pt idx="0">
                  <c:v>Cloud 2: Distribution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'Vertical Raincloud - 3 Clouds'!$K$10:$K$69</c:f>
              <c:numCache>
                <c:formatCode>General</c:formatCode>
                <c:ptCount val="60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2.6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2.6</c:v>
                </c:pt>
                <c:pt idx="24">
                  <c:v>2.5</c:v>
                </c:pt>
                <c:pt idx="25">
                  <c:v>2.6</c:v>
                </c:pt>
                <c:pt idx="26">
                  <c:v>2.5</c:v>
                </c:pt>
                <c:pt idx="27">
                  <c:v>2.5</c:v>
                </c:pt>
                <c:pt idx="28">
                  <c:v>2.5</c:v>
                </c:pt>
                <c:pt idx="29">
                  <c:v>2.6</c:v>
                </c:pt>
                <c:pt idx="30">
                  <c:v>2.5</c:v>
                </c:pt>
                <c:pt idx="31">
                  <c:v>2.6</c:v>
                </c:pt>
                <c:pt idx="32">
                  <c:v>2.7</c:v>
                </c:pt>
                <c:pt idx="33">
                  <c:v>2.5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2.5</c:v>
                </c:pt>
                <c:pt idx="38">
                  <c:v>2.5</c:v>
                </c:pt>
                <c:pt idx="39">
                  <c:v>2.5</c:v>
                </c:pt>
                <c:pt idx="40">
                  <c:v>2.5</c:v>
                </c:pt>
                <c:pt idx="41">
                  <c:v>2.6</c:v>
                </c:pt>
                <c:pt idx="42">
                  <c:v>2.5</c:v>
                </c:pt>
                <c:pt idx="43">
                  <c:v>2.5</c:v>
                </c:pt>
                <c:pt idx="44">
                  <c:v>2.5</c:v>
                </c:pt>
                <c:pt idx="45">
                  <c:v>2.5</c:v>
                </c:pt>
                <c:pt idx="46">
                  <c:v>2.5</c:v>
                </c:pt>
                <c:pt idx="47">
                  <c:v>2.6</c:v>
                </c:pt>
                <c:pt idx="48">
                  <c:v>2.5</c:v>
                </c:pt>
                <c:pt idx="49">
                  <c:v>2.5</c:v>
                </c:pt>
                <c:pt idx="50">
                  <c:v>2.5</c:v>
                </c:pt>
                <c:pt idx="51">
                  <c:v>2.5</c:v>
                </c:pt>
                <c:pt idx="52">
                  <c:v>2.5</c:v>
                </c:pt>
                <c:pt idx="53">
                  <c:v>2.5</c:v>
                </c:pt>
                <c:pt idx="54">
                  <c:v>2.5</c:v>
                </c:pt>
                <c:pt idx="55">
                  <c:v>2.5</c:v>
                </c:pt>
                <c:pt idx="56">
                  <c:v>2.5</c:v>
                </c:pt>
                <c:pt idx="57">
                  <c:v>2.5</c:v>
                </c:pt>
                <c:pt idx="58">
                  <c:v>2.6</c:v>
                </c:pt>
                <c:pt idx="59">
                  <c:v>2.5</c:v>
                </c:pt>
              </c:numCache>
            </c:numRef>
          </c:xVal>
          <c:yVal>
            <c:numRef>
              <c:f>'Vertical Raincloud - 3 Clouds'!$N$10:$N$69</c:f>
              <c:numCache>
                <c:formatCode>General</c:formatCode>
                <c:ptCount val="60"/>
                <c:pt idx="0">
                  <c:v>181</c:v>
                </c:pt>
                <c:pt idx="1">
                  <c:v>149</c:v>
                </c:pt>
                <c:pt idx="2">
                  <c:v>164</c:v>
                </c:pt>
                <c:pt idx="3">
                  <c:v>182</c:v>
                </c:pt>
                <c:pt idx="4">
                  <c:v>127</c:v>
                </c:pt>
                <c:pt idx="5">
                  <c:v>118</c:v>
                </c:pt>
                <c:pt idx="6">
                  <c:v>147</c:v>
                </c:pt>
                <c:pt idx="7">
                  <c:v>197</c:v>
                </c:pt>
                <c:pt idx="8">
                  <c:v>160</c:v>
                </c:pt>
                <c:pt idx="9">
                  <c:v>107</c:v>
                </c:pt>
                <c:pt idx="10">
                  <c:v>167</c:v>
                </c:pt>
                <c:pt idx="11">
                  <c:v>153</c:v>
                </c:pt>
                <c:pt idx="12">
                  <c:v>184</c:v>
                </c:pt>
                <c:pt idx="13">
                  <c:v>196</c:v>
                </c:pt>
                <c:pt idx="14">
                  <c:v>102</c:v>
                </c:pt>
                <c:pt idx="15">
                  <c:v>118</c:v>
                </c:pt>
                <c:pt idx="16">
                  <c:v>191</c:v>
                </c:pt>
                <c:pt idx="17">
                  <c:v>144</c:v>
                </c:pt>
                <c:pt idx="18">
                  <c:v>174</c:v>
                </c:pt>
                <c:pt idx="19">
                  <c:v>111</c:v>
                </c:pt>
                <c:pt idx="20">
                  <c:v>175</c:v>
                </c:pt>
                <c:pt idx="21">
                  <c:v>116</c:v>
                </c:pt>
                <c:pt idx="22">
                  <c:v>143</c:v>
                </c:pt>
                <c:pt idx="23">
                  <c:v>116</c:v>
                </c:pt>
                <c:pt idx="24">
                  <c:v>168</c:v>
                </c:pt>
                <c:pt idx="25">
                  <c:v>196</c:v>
                </c:pt>
                <c:pt idx="26">
                  <c:v>105</c:v>
                </c:pt>
                <c:pt idx="27">
                  <c:v>124</c:v>
                </c:pt>
                <c:pt idx="28">
                  <c:v>150</c:v>
                </c:pt>
                <c:pt idx="29">
                  <c:v>182</c:v>
                </c:pt>
                <c:pt idx="30">
                  <c:v>186</c:v>
                </c:pt>
                <c:pt idx="31">
                  <c:v>182</c:v>
                </c:pt>
                <c:pt idx="32">
                  <c:v>149</c:v>
                </c:pt>
                <c:pt idx="33">
                  <c:v>198</c:v>
                </c:pt>
                <c:pt idx="34">
                  <c:v>138</c:v>
                </c:pt>
                <c:pt idx="35">
                  <c:v>160</c:v>
                </c:pt>
                <c:pt idx="36">
                  <c:v>191</c:v>
                </c:pt>
                <c:pt idx="37">
                  <c:v>117</c:v>
                </c:pt>
                <c:pt idx="38">
                  <c:v>123</c:v>
                </c:pt>
                <c:pt idx="39">
                  <c:v>172</c:v>
                </c:pt>
                <c:pt idx="40">
                  <c:v>128</c:v>
                </c:pt>
                <c:pt idx="41">
                  <c:v>191</c:v>
                </c:pt>
                <c:pt idx="42">
                  <c:v>125</c:v>
                </c:pt>
                <c:pt idx="43">
                  <c:v>126</c:v>
                </c:pt>
                <c:pt idx="44">
                  <c:v>121</c:v>
                </c:pt>
                <c:pt idx="45">
                  <c:v>156</c:v>
                </c:pt>
                <c:pt idx="46">
                  <c:v>192</c:v>
                </c:pt>
                <c:pt idx="47">
                  <c:v>105</c:v>
                </c:pt>
                <c:pt idx="48">
                  <c:v>200</c:v>
                </c:pt>
                <c:pt idx="49">
                  <c:v>179</c:v>
                </c:pt>
                <c:pt idx="50">
                  <c:v>113</c:v>
                </c:pt>
                <c:pt idx="51">
                  <c:v>146</c:v>
                </c:pt>
                <c:pt idx="52">
                  <c:v>173</c:v>
                </c:pt>
                <c:pt idx="53">
                  <c:v>189</c:v>
                </c:pt>
                <c:pt idx="54">
                  <c:v>154</c:v>
                </c:pt>
                <c:pt idx="55">
                  <c:v>177</c:v>
                </c:pt>
                <c:pt idx="56">
                  <c:v>106</c:v>
                </c:pt>
                <c:pt idx="57">
                  <c:v>190</c:v>
                </c:pt>
                <c:pt idx="58">
                  <c:v>191</c:v>
                </c:pt>
                <c:pt idx="59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0E-471A-B373-062C2C417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6032"/>
        <c:axId val="159323984"/>
      </c:scatterChart>
      <c:valAx>
        <c:axId val="159346032"/>
        <c:scaling>
          <c:orientation val="minMax"/>
          <c:max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323984"/>
        <c:crosses val="autoZero"/>
        <c:crossBetween val="midCat"/>
      </c:valAx>
      <c:valAx>
        <c:axId val="1593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346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'Vertical Raincloud - 3 Clouds'!$O$9</c:f>
              <c:strCache>
                <c:ptCount val="1"/>
                <c:pt idx="0">
                  <c:v>Cloud 3: Distribution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'Vertical Raincloud - 3 Clouds'!$L$10:$L$69</c:f>
              <c:numCache>
                <c:formatCode>General</c:formatCode>
                <c:ptCount val="60"/>
                <c:pt idx="0">
                  <c:v>3.5</c:v>
                </c:pt>
                <c:pt idx="1">
                  <c:v>3.5</c:v>
                </c:pt>
                <c:pt idx="2">
                  <c:v>3.6</c:v>
                </c:pt>
                <c:pt idx="3">
                  <c:v>3.7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3.6</c:v>
                </c:pt>
                <c:pt idx="8">
                  <c:v>3.5</c:v>
                </c:pt>
                <c:pt idx="9">
                  <c:v>3.5</c:v>
                </c:pt>
                <c:pt idx="10">
                  <c:v>3.6</c:v>
                </c:pt>
                <c:pt idx="11">
                  <c:v>3.5</c:v>
                </c:pt>
                <c:pt idx="12">
                  <c:v>3.6</c:v>
                </c:pt>
                <c:pt idx="13">
                  <c:v>3.5</c:v>
                </c:pt>
                <c:pt idx="14">
                  <c:v>3.5</c:v>
                </c:pt>
                <c:pt idx="15">
                  <c:v>3.6</c:v>
                </c:pt>
                <c:pt idx="16">
                  <c:v>3.5</c:v>
                </c:pt>
                <c:pt idx="17">
                  <c:v>3.5</c:v>
                </c:pt>
                <c:pt idx="18">
                  <c:v>3.6</c:v>
                </c:pt>
                <c:pt idx="19">
                  <c:v>3.5</c:v>
                </c:pt>
                <c:pt idx="20">
                  <c:v>3.6</c:v>
                </c:pt>
                <c:pt idx="21">
                  <c:v>3.5</c:v>
                </c:pt>
                <c:pt idx="22">
                  <c:v>3.5</c:v>
                </c:pt>
                <c:pt idx="23">
                  <c:v>3.5</c:v>
                </c:pt>
                <c:pt idx="24">
                  <c:v>3.5</c:v>
                </c:pt>
                <c:pt idx="25">
                  <c:v>3.6</c:v>
                </c:pt>
                <c:pt idx="26">
                  <c:v>3.5</c:v>
                </c:pt>
                <c:pt idx="27">
                  <c:v>3.5</c:v>
                </c:pt>
                <c:pt idx="28">
                  <c:v>3.5</c:v>
                </c:pt>
                <c:pt idx="29">
                  <c:v>3.5</c:v>
                </c:pt>
                <c:pt idx="30">
                  <c:v>3.6</c:v>
                </c:pt>
                <c:pt idx="31">
                  <c:v>3.5</c:v>
                </c:pt>
                <c:pt idx="32">
                  <c:v>3.5</c:v>
                </c:pt>
                <c:pt idx="33">
                  <c:v>3.6</c:v>
                </c:pt>
                <c:pt idx="34">
                  <c:v>3.5</c:v>
                </c:pt>
                <c:pt idx="35">
                  <c:v>3.6</c:v>
                </c:pt>
                <c:pt idx="36">
                  <c:v>3.5</c:v>
                </c:pt>
                <c:pt idx="37">
                  <c:v>3.5</c:v>
                </c:pt>
                <c:pt idx="38">
                  <c:v>3.6</c:v>
                </c:pt>
                <c:pt idx="39">
                  <c:v>3.5</c:v>
                </c:pt>
                <c:pt idx="40">
                  <c:v>3.5</c:v>
                </c:pt>
                <c:pt idx="41">
                  <c:v>3.6</c:v>
                </c:pt>
                <c:pt idx="42">
                  <c:v>3.5</c:v>
                </c:pt>
                <c:pt idx="43">
                  <c:v>3.6</c:v>
                </c:pt>
                <c:pt idx="44">
                  <c:v>3.5</c:v>
                </c:pt>
                <c:pt idx="45">
                  <c:v>3.5</c:v>
                </c:pt>
                <c:pt idx="46">
                  <c:v>3.5</c:v>
                </c:pt>
                <c:pt idx="47">
                  <c:v>3.5</c:v>
                </c:pt>
                <c:pt idx="48">
                  <c:v>3.6</c:v>
                </c:pt>
                <c:pt idx="49">
                  <c:v>3.5</c:v>
                </c:pt>
                <c:pt idx="50">
                  <c:v>3.5</c:v>
                </c:pt>
                <c:pt idx="51">
                  <c:v>3.6</c:v>
                </c:pt>
                <c:pt idx="52">
                  <c:v>3.7</c:v>
                </c:pt>
                <c:pt idx="53">
                  <c:v>3.8000000000000003</c:v>
                </c:pt>
                <c:pt idx="54">
                  <c:v>3.5</c:v>
                </c:pt>
                <c:pt idx="55">
                  <c:v>3.5</c:v>
                </c:pt>
                <c:pt idx="56">
                  <c:v>3.5</c:v>
                </c:pt>
                <c:pt idx="57">
                  <c:v>3.6</c:v>
                </c:pt>
                <c:pt idx="58">
                  <c:v>3.5</c:v>
                </c:pt>
                <c:pt idx="59">
                  <c:v>3.5</c:v>
                </c:pt>
              </c:numCache>
            </c:numRef>
          </c:xVal>
          <c:yVal>
            <c:numRef>
              <c:f>'Vertical Raincloud - 3 Clouds'!$O$10:$O$69</c:f>
              <c:numCache>
                <c:formatCode>General</c:formatCode>
                <c:ptCount val="60"/>
                <c:pt idx="0">
                  <c:v>204</c:v>
                </c:pt>
                <c:pt idx="1">
                  <c:v>206</c:v>
                </c:pt>
                <c:pt idx="2">
                  <c:v>206</c:v>
                </c:pt>
                <c:pt idx="3">
                  <c:v>206</c:v>
                </c:pt>
                <c:pt idx="4">
                  <c:v>208</c:v>
                </c:pt>
                <c:pt idx="5">
                  <c:v>209</c:v>
                </c:pt>
                <c:pt idx="6">
                  <c:v>211</c:v>
                </c:pt>
                <c:pt idx="7">
                  <c:v>211</c:v>
                </c:pt>
                <c:pt idx="8">
                  <c:v>213</c:v>
                </c:pt>
                <c:pt idx="9">
                  <c:v>216</c:v>
                </c:pt>
                <c:pt idx="10">
                  <c:v>216</c:v>
                </c:pt>
                <c:pt idx="11">
                  <c:v>217</c:v>
                </c:pt>
                <c:pt idx="12">
                  <c:v>217</c:v>
                </c:pt>
                <c:pt idx="13">
                  <c:v>218</c:v>
                </c:pt>
                <c:pt idx="14">
                  <c:v>223</c:v>
                </c:pt>
                <c:pt idx="15">
                  <c:v>223</c:v>
                </c:pt>
                <c:pt idx="16">
                  <c:v>224</c:v>
                </c:pt>
                <c:pt idx="17">
                  <c:v>225</c:v>
                </c:pt>
                <c:pt idx="18">
                  <c:v>225</c:v>
                </c:pt>
                <c:pt idx="19">
                  <c:v>226</c:v>
                </c:pt>
                <c:pt idx="20">
                  <c:v>226</c:v>
                </c:pt>
                <c:pt idx="21">
                  <c:v>229</c:v>
                </c:pt>
                <c:pt idx="22">
                  <c:v>230</c:v>
                </c:pt>
                <c:pt idx="23">
                  <c:v>237</c:v>
                </c:pt>
                <c:pt idx="24">
                  <c:v>240</c:v>
                </c:pt>
                <c:pt idx="25">
                  <c:v>240</c:v>
                </c:pt>
                <c:pt idx="26">
                  <c:v>241</c:v>
                </c:pt>
                <c:pt idx="27">
                  <c:v>242</c:v>
                </c:pt>
                <c:pt idx="28">
                  <c:v>248</c:v>
                </c:pt>
                <c:pt idx="29">
                  <c:v>250</c:v>
                </c:pt>
                <c:pt idx="30">
                  <c:v>250</c:v>
                </c:pt>
                <c:pt idx="31">
                  <c:v>251</c:v>
                </c:pt>
                <c:pt idx="32">
                  <c:v>252</c:v>
                </c:pt>
                <c:pt idx="33">
                  <c:v>252</c:v>
                </c:pt>
                <c:pt idx="34">
                  <c:v>253</c:v>
                </c:pt>
                <c:pt idx="35">
                  <c:v>253</c:v>
                </c:pt>
                <c:pt idx="36">
                  <c:v>254</c:v>
                </c:pt>
                <c:pt idx="37">
                  <c:v>257</c:v>
                </c:pt>
                <c:pt idx="38">
                  <c:v>257</c:v>
                </c:pt>
                <c:pt idx="39">
                  <c:v>259</c:v>
                </c:pt>
                <c:pt idx="40">
                  <c:v>262</c:v>
                </c:pt>
                <c:pt idx="41">
                  <c:v>262</c:v>
                </c:pt>
                <c:pt idx="42">
                  <c:v>265</c:v>
                </c:pt>
                <c:pt idx="43">
                  <c:v>265</c:v>
                </c:pt>
                <c:pt idx="44">
                  <c:v>272</c:v>
                </c:pt>
                <c:pt idx="45">
                  <c:v>274</c:v>
                </c:pt>
                <c:pt idx="46">
                  <c:v>280</c:v>
                </c:pt>
                <c:pt idx="47">
                  <c:v>283</c:v>
                </c:pt>
                <c:pt idx="48">
                  <c:v>283</c:v>
                </c:pt>
                <c:pt idx="49">
                  <c:v>285</c:v>
                </c:pt>
                <c:pt idx="50">
                  <c:v>290</c:v>
                </c:pt>
                <c:pt idx="51">
                  <c:v>290</c:v>
                </c:pt>
                <c:pt idx="52">
                  <c:v>290</c:v>
                </c:pt>
                <c:pt idx="53">
                  <c:v>290</c:v>
                </c:pt>
                <c:pt idx="54">
                  <c:v>292</c:v>
                </c:pt>
                <c:pt idx="55">
                  <c:v>293</c:v>
                </c:pt>
                <c:pt idx="56">
                  <c:v>295</c:v>
                </c:pt>
                <c:pt idx="57">
                  <c:v>295</c:v>
                </c:pt>
                <c:pt idx="58">
                  <c:v>297</c:v>
                </c:pt>
                <c:pt idx="59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32-490C-AE83-1DAF43CA5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86320"/>
        <c:axId val="31284240"/>
      </c:scatterChart>
      <c:valAx>
        <c:axId val="3128632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4240"/>
        <c:crosses val="autoZero"/>
        <c:crossBetween val="midCat"/>
      </c:valAx>
      <c:valAx>
        <c:axId val="3128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6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Stacked Column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'Vertical Raincloud - 3 Clouds'!$Q$22</c:f>
              <c:strCache>
                <c:ptCount val="1"/>
                <c:pt idx="0">
                  <c:v>Base 25th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'Vertical Raincloud - 3 Clouds'!$R$21:$T$21</c:f>
              <c:strCache>
                <c:ptCount val="3"/>
                <c:pt idx="0">
                  <c:v>Stacked: Cloud 1</c:v>
                </c:pt>
                <c:pt idx="1">
                  <c:v>Stacked: Cloud 2</c:v>
                </c:pt>
                <c:pt idx="2">
                  <c:v>Stacked: Cloud 3</c:v>
                </c:pt>
              </c:strCache>
            </c:strRef>
          </c:cat>
          <c:val>
            <c:numRef>
              <c:f>'Vertical Raincloud - 3 Clouds'!$R$22:$T$22</c:f>
              <c:numCache>
                <c:formatCode>General</c:formatCode>
                <c:ptCount val="3"/>
                <c:pt idx="0">
                  <c:v>20.5</c:v>
                </c:pt>
                <c:pt idx="1">
                  <c:v>123.75</c:v>
                </c:pt>
                <c:pt idx="2">
                  <c:v>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0-4393-B12F-00CB9CA41D1B}"/>
            </c:ext>
          </c:extLst>
        </c:ser>
        <c:ser>
          <c:idx val="1"/>
          <c:order val="1"/>
          <c:tx>
            <c:strRef>
              <c:f>'Vertical Raincloud - 3 Clouds'!$Q$23</c:f>
              <c:strCache>
                <c:ptCount val="1"/>
                <c:pt idx="0">
                  <c:v>Bottom 25-50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'Vertical Raincloud - 3 Clouds'!$R$21:$T$21</c:f>
              <c:strCache>
                <c:ptCount val="3"/>
                <c:pt idx="0">
                  <c:v>Stacked: Cloud 1</c:v>
                </c:pt>
                <c:pt idx="1">
                  <c:v>Stacked: Cloud 2</c:v>
                </c:pt>
                <c:pt idx="2">
                  <c:v>Stacked: Cloud 3</c:v>
                </c:pt>
              </c:strCache>
            </c:strRef>
          </c:cat>
          <c:val>
            <c:numRef>
              <c:f>'Vertical Raincloud - 3 Clouds'!$R$23:$T$23</c:f>
              <c:numCache>
                <c:formatCode>General</c:formatCode>
                <c:ptCount val="3"/>
                <c:pt idx="0">
                  <c:v>23</c:v>
                </c:pt>
                <c:pt idx="1">
                  <c:v>31.25</c:v>
                </c:pt>
                <c:pt idx="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10-4393-B12F-00CB9CA41D1B}"/>
            </c:ext>
          </c:extLst>
        </c:ser>
        <c:ser>
          <c:idx val="2"/>
          <c:order val="2"/>
          <c:tx>
            <c:strRef>
              <c:f>'Vertical Raincloud - 3 Clouds'!$Q$24</c:f>
              <c:strCache>
                <c:ptCount val="1"/>
                <c:pt idx="0">
                  <c:v>Top 50-75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'Vertical Raincloud - 3 Clouds'!$R$21:$T$21</c:f>
              <c:strCache>
                <c:ptCount val="3"/>
                <c:pt idx="0">
                  <c:v>Stacked: Cloud 1</c:v>
                </c:pt>
                <c:pt idx="1">
                  <c:v>Stacked: Cloud 2</c:v>
                </c:pt>
                <c:pt idx="2">
                  <c:v>Stacked: Cloud 3</c:v>
                </c:pt>
              </c:strCache>
            </c:strRef>
          </c:cat>
          <c:val>
            <c:numRef>
              <c:f>'Vertical Raincloud - 3 Clouds'!$R$24:$T$24</c:f>
              <c:numCache>
                <c:formatCode>General</c:formatCode>
                <c:ptCount val="3"/>
                <c:pt idx="0">
                  <c:v>21.25</c:v>
                </c:pt>
                <c:pt idx="1">
                  <c:v>27</c:v>
                </c:pt>
                <c:pt idx="2">
                  <c:v>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10-4393-B12F-00CB9CA41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4676959"/>
        <c:axId val="2134670303"/>
      </c:barChart>
      <c:catAx>
        <c:axId val="2134676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70303"/>
        <c:crosses val="autoZero"/>
        <c:auto val="1"/>
        <c:lblAlgn val="ctr"/>
        <c:lblOffset val="100"/>
        <c:noMultiLvlLbl val="0"/>
      </c:catAx>
      <c:valAx>
        <c:axId val="2134670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7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3</a:t>
            </a:r>
            <a:r>
              <a:rPr lang="en-AU" baseline="0"/>
              <a:t> Cloud Distribution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'Vertical Raincloud - 3 Clouds'!$M$9</c:f>
              <c:strCache>
                <c:ptCount val="1"/>
                <c:pt idx="0">
                  <c:v>Cloud 1: Distribution</c:v>
                </c:pt>
              </c:strCache>
            </c:strRef>
          </c:tx>
          <c:spPr>
            <a:ln w="28575">
              <a:noFill/>
            </a:ln>
          </c:spPr>
          <c:xVal>
            <c:numRef>
              <c:f>'Vertical Raincloud - 3 Clouds'!$J$10:$J$69</c:f>
              <c:numCache>
                <c:formatCode>General</c:formatCode>
                <c:ptCount val="6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1.6</c:v>
                </c:pt>
                <c:pt idx="18">
                  <c:v>1.7000000000000002</c:v>
                </c:pt>
                <c:pt idx="19">
                  <c:v>1.5</c:v>
                </c:pt>
                <c:pt idx="20">
                  <c:v>1.5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1.6</c:v>
                </c:pt>
                <c:pt idx="26">
                  <c:v>1.7000000000000002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1.6</c:v>
                </c:pt>
                <c:pt idx="33">
                  <c:v>1.7000000000000002</c:v>
                </c:pt>
                <c:pt idx="34">
                  <c:v>1.8000000000000003</c:v>
                </c:pt>
                <c:pt idx="35">
                  <c:v>1.5</c:v>
                </c:pt>
                <c:pt idx="36">
                  <c:v>1.6</c:v>
                </c:pt>
                <c:pt idx="37">
                  <c:v>1.7000000000000002</c:v>
                </c:pt>
                <c:pt idx="38">
                  <c:v>1.5</c:v>
                </c:pt>
                <c:pt idx="39">
                  <c:v>1.6</c:v>
                </c:pt>
                <c:pt idx="40">
                  <c:v>1.5</c:v>
                </c:pt>
                <c:pt idx="41">
                  <c:v>1.6</c:v>
                </c:pt>
                <c:pt idx="42">
                  <c:v>1.5</c:v>
                </c:pt>
                <c:pt idx="43">
                  <c:v>1.6</c:v>
                </c:pt>
                <c:pt idx="44">
                  <c:v>1.5</c:v>
                </c:pt>
                <c:pt idx="45">
                  <c:v>1.5</c:v>
                </c:pt>
                <c:pt idx="46">
                  <c:v>1.5</c:v>
                </c:pt>
                <c:pt idx="47">
                  <c:v>1.6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  <c:pt idx="51">
                  <c:v>1.5</c:v>
                </c:pt>
                <c:pt idx="52">
                  <c:v>1.5</c:v>
                </c:pt>
                <c:pt idx="53">
                  <c:v>1.6</c:v>
                </c:pt>
                <c:pt idx="54">
                  <c:v>1.5</c:v>
                </c:pt>
                <c:pt idx="55">
                  <c:v>1.6</c:v>
                </c:pt>
                <c:pt idx="56">
                  <c:v>1.7000000000000002</c:v>
                </c:pt>
                <c:pt idx="57">
                  <c:v>1.8000000000000003</c:v>
                </c:pt>
                <c:pt idx="58">
                  <c:v>1.9000000000000004</c:v>
                </c:pt>
                <c:pt idx="59">
                  <c:v>1.5</c:v>
                </c:pt>
              </c:numCache>
            </c:numRef>
          </c:xVal>
          <c:yVal>
            <c:numRef>
              <c:f>'Vertical Raincloud - 3 Clouds'!$M$10:$M$69</c:f>
              <c:numCache>
                <c:formatCode>General</c:formatCode>
                <c:ptCount val="60"/>
                <c:pt idx="0">
                  <c:v>12</c:v>
                </c:pt>
                <c:pt idx="1">
                  <c:v>99</c:v>
                </c:pt>
                <c:pt idx="2">
                  <c:v>52</c:v>
                </c:pt>
                <c:pt idx="3">
                  <c:v>28</c:v>
                </c:pt>
                <c:pt idx="4">
                  <c:v>38</c:v>
                </c:pt>
                <c:pt idx="5">
                  <c:v>50</c:v>
                </c:pt>
                <c:pt idx="6">
                  <c:v>67</c:v>
                </c:pt>
                <c:pt idx="7">
                  <c:v>48</c:v>
                </c:pt>
                <c:pt idx="8">
                  <c:v>33</c:v>
                </c:pt>
                <c:pt idx="9">
                  <c:v>29</c:v>
                </c:pt>
                <c:pt idx="10">
                  <c:v>34</c:v>
                </c:pt>
                <c:pt idx="11">
                  <c:v>68</c:v>
                </c:pt>
                <c:pt idx="12">
                  <c:v>62</c:v>
                </c:pt>
                <c:pt idx="13">
                  <c:v>64</c:v>
                </c:pt>
                <c:pt idx="14">
                  <c:v>92</c:v>
                </c:pt>
                <c:pt idx="15">
                  <c:v>8</c:v>
                </c:pt>
                <c:pt idx="16">
                  <c:v>60</c:v>
                </c:pt>
                <c:pt idx="17">
                  <c:v>12</c:v>
                </c:pt>
                <c:pt idx="18">
                  <c:v>48</c:v>
                </c:pt>
                <c:pt idx="19">
                  <c:v>31</c:v>
                </c:pt>
                <c:pt idx="20">
                  <c:v>18</c:v>
                </c:pt>
                <c:pt idx="21">
                  <c:v>56</c:v>
                </c:pt>
                <c:pt idx="22">
                  <c:v>90</c:v>
                </c:pt>
                <c:pt idx="23">
                  <c:v>10</c:v>
                </c:pt>
                <c:pt idx="24">
                  <c:v>9</c:v>
                </c:pt>
                <c:pt idx="25">
                  <c:v>92</c:v>
                </c:pt>
                <c:pt idx="26">
                  <c:v>31</c:v>
                </c:pt>
                <c:pt idx="27">
                  <c:v>13</c:v>
                </c:pt>
                <c:pt idx="28">
                  <c:v>93</c:v>
                </c:pt>
                <c:pt idx="29">
                  <c:v>95</c:v>
                </c:pt>
                <c:pt idx="30">
                  <c:v>11</c:v>
                </c:pt>
                <c:pt idx="31">
                  <c:v>27</c:v>
                </c:pt>
                <c:pt idx="32">
                  <c:v>31</c:v>
                </c:pt>
                <c:pt idx="33">
                  <c:v>67</c:v>
                </c:pt>
                <c:pt idx="34">
                  <c:v>68</c:v>
                </c:pt>
                <c:pt idx="35">
                  <c:v>19</c:v>
                </c:pt>
                <c:pt idx="36">
                  <c:v>28</c:v>
                </c:pt>
                <c:pt idx="37">
                  <c:v>29</c:v>
                </c:pt>
                <c:pt idx="38">
                  <c:v>17</c:v>
                </c:pt>
                <c:pt idx="39">
                  <c:v>18</c:v>
                </c:pt>
                <c:pt idx="40">
                  <c:v>44</c:v>
                </c:pt>
                <c:pt idx="41">
                  <c:v>60</c:v>
                </c:pt>
                <c:pt idx="42">
                  <c:v>43</c:v>
                </c:pt>
                <c:pt idx="43">
                  <c:v>68</c:v>
                </c:pt>
                <c:pt idx="44">
                  <c:v>39</c:v>
                </c:pt>
                <c:pt idx="45">
                  <c:v>15</c:v>
                </c:pt>
                <c:pt idx="46">
                  <c:v>21</c:v>
                </c:pt>
                <c:pt idx="47">
                  <c:v>8</c:v>
                </c:pt>
                <c:pt idx="48">
                  <c:v>53</c:v>
                </c:pt>
                <c:pt idx="49">
                  <c:v>1</c:v>
                </c:pt>
                <c:pt idx="50">
                  <c:v>63</c:v>
                </c:pt>
                <c:pt idx="51">
                  <c:v>73</c:v>
                </c:pt>
                <c:pt idx="52">
                  <c:v>78</c:v>
                </c:pt>
                <c:pt idx="53">
                  <c:v>90</c:v>
                </c:pt>
                <c:pt idx="54">
                  <c:v>51</c:v>
                </c:pt>
                <c:pt idx="55">
                  <c:v>27</c:v>
                </c:pt>
                <c:pt idx="56">
                  <c:v>56</c:v>
                </c:pt>
                <c:pt idx="57">
                  <c:v>12</c:v>
                </c:pt>
                <c:pt idx="58">
                  <c:v>53</c:v>
                </c:pt>
                <c:pt idx="59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168-4A8E-B442-73D9B2BD7974}"/>
            </c:ext>
          </c:extLst>
        </c:ser>
        <c:ser>
          <c:idx val="2"/>
          <c:order val="1"/>
          <c:tx>
            <c:strRef>
              <c:f>'Vertical Raincloud - 3 Clouds'!$N$9</c:f>
              <c:strCache>
                <c:ptCount val="1"/>
                <c:pt idx="0">
                  <c:v>Cloud 2: Distribution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xVal>
            <c:numRef>
              <c:f>'Vertical Raincloud - 3 Clouds'!$K$10:$K$69</c:f>
              <c:numCache>
                <c:formatCode>General</c:formatCode>
                <c:ptCount val="60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2.6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2.6</c:v>
                </c:pt>
                <c:pt idx="24">
                  <c:v>2.5</c:v>
                </c:pt>
                <c:pt idx="25">
                  <c:v>2.6</c:v>
                </c:pt>
                <c:pt idx="26">
                  <c:v>2.5</c:v>
                </c:pt>
                <c:pt idx="27">
                  <c:v>2.5</c:v>
                </c:pt>
                <c:pt idx="28">
                  <c:v>2.5</c:v>
                </c:pt>
                <c:pt idx="29">
                  <c:v>2.6</c:v>
                </c:pt>
                <c:pt idx="30">
                  <c:v>2.5</c:v>
                </c:pt>
                <c:pt idx="31">
                  <c:v>2.6</c:v>
                </c:pt>
                <c:pt idx="32">
                  <c:v>2.7</c:v>
                </c:pt>
                <c:pt idx="33">
                  <c:v>2.5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2.5</c:v>
                </c:pt>
                <c:pt idx="38">
                  <c:v>2.5</c:v>
                </c:pt>
                <c:pt idx="39">
                  <c:v>2.5</c:v>
                </c:pt>
                <c:pt idx="40">
                  <c:v>2.5</c:v>
                </c:pt>
                <c:pt idx="41">
                  <c:v>2.6</c:v>
                </c:pt>
                <c:pt idx="42">
                  <c:v>2.5</c:v>
                </c:pt>
                <c:pt idx="43">
                  <c:v>2.5</c:v>
                </c:pt>
                <c:pt idx="44">
                  <c:v>2.5</c:v>
                </c:pt>
                <c:pt idx="45">
                  <c:v>2.5</c:v>
                </c:pt>
                <c:pt idx="46">
                  <c:v>2.5</c:v>
                </c:pt>
                <c:pt idx="47">
                  <c:v>2.6</c:v>
                </c:pt>
                <c:pt idx="48">
                  <c:v>2.5</c:v>
                </c:pt>
                <c:pt idx="49">
                  <c:v>2.5</c:v>
                </c:pt>
                <c:pt idx="50">
                  <c:v>2.5</c:v>
                </c:pt>
                <c:pt idx="51">
                  <c:v>2.5</c:v>
                </c:pt>
                <c:pt idx="52">
                  <c:v>2.5</c:v>
                </c:pt>
                <c:pt idx="53">
                  <c:v>2.5</c:v>
                </c:pt>
                <c:pt idx="54">
                  <c:v>2.5</c:v>
                </c:pt>
                <c:pt idx="55">
                  <c:v>2.5</c:v>
                </c:pt>
                <c:pt idx="56">
                  <c:v>2.5</c:v>
                </c:pt>
                <c:pt idx="57">
                  <c:v>2.5</c:v>
                </c:pt>
                <c:pt idx="58">
                  <c:v>2.6</c:v>
                </c:pt>
                <c:pt idx="59">
                  <c:v>2.5</c:v>
                </c:pt>
              </c:numCache>
            </c:numRef>
          </c:xVal>
          <c:yVal>
            <c:numRef>
              <c:f>'Vertical Raincloud - 3 Clouds'!$N$10:$N$69</c:f>
              <c:numCache>
                <c:formatCode>General</c:formatCode>
                <c:ptCount val="60"/>
                <c:pt idx="0">
                  <c:v>181</c:v>
                </c:pt>
                <c:pt idx="1">
                  <c:v>149</c:v>
                </c:pt>
                <c:pt idx="2">
                  <c:v>164</c:v>
                </c:pt>
                <c:pt idx="3">
                  <c:v>182</c:v>
                </c:pt>
                <c:pt idx="4">
                  <c:v>127</c:v>
                </c:pt>
                <c:pt idx="5">
                  <c:v>118</c:v>
                </c:pt>
                <c:pt idx="6">
                  <c:v>147</c:v>
                </c:pt>
                <c:pt idx="7">
                  <c:v>197</c:v>
                </c:pt>
                <c:pt idx="8">
                  <c:v>160</c:v>
                </c:pt>
                <c:pt idx="9">
                  <c:v>107</c:v>
                </c:pt>
                <c:pt idx="10">
                  <c:v>167</c:v>
                </c:pt>
                <c:pt idx="11">
                  <c:v>153</c:v>
                </c:pt>
                <c:pt idx="12">
                  <c:v>184</c:v>
                </c:pt>
                <c:pt idx="13">
                  <c:v>196</c:v>
                </c:pt>
                <c:pt idx="14">
                  <c:v>102</c:v>
                </c:pt>
                <c:pt idx="15">
                  <c:v>118</c:v>
                </c:pt>
                <c:pt idx="16">
                  <c:v>191</c:v>
                </c:pt>
                <c:pt idx="17">
                  <c:v>144</c:v>
                </c:pt>
                <c:pt idx="18">
                  <c:v>174</c:v>
                </c:pt>
                <c:pt idx="19">
                  <c:v>111</c:v>
                </c:pt>
                <c:pt idx="20">
                  <c:v>175</c:v>
                </c:pt>
                <c:pt idx="21">
                  <c:v>116</c:v>
                </c:pt>
                <c:pt idx="22">
                  <c:v>143</c:v>
                </c:pt>
                <c:pt idx="23">
                  <c:v>116</c:v>
                </c:pt>
                <c:pt idx="24">
                  <c:v>168</c:v>
                </c:pt>
                <c:pt idx="25">
                  <c:v>196</c:v>
                </c:pt>
                <c:pt idx="26">
                  <c:v>105</c:v>
                </c:pt>
                <c:pt idx="27">
                  <c:v>124</c:v>
                </c:pt>
                <c:pt idx="28">
                  <c:v>150</c:v>
                </c:pt>
                <c:pt idx="29">
                  <c:v>182</c:v>
                </c:pt>
                <c:pt idx="30">
                  <c:v>186</c:v>
                </c:pt>
                <c:pt idx="31">
                  <c:v>182</c:v>
                </c:pt>
                <c:pt idx="32">
                  <c:v>149</c:v>
                </c:pt>
                <c:pt idx="33">
                  <c:v>198</c:v>
                </c:pt>
                <c:pt idx="34">
                  <c:v>138</c:v>
                </c:pt>
                <c:pt idx="35">
                  <c:v>160</c:v>
                </c:pt>
                <c:pt idx="36">
                  <c:v>191</c:v>
                </c:pt>
                <c:pt idx="37">
                  <c:v>117</c:v>
                </c:pt>
                <c:pt idx="38">
                  <c:v>123</c:v>
                </c:pt>
                <c:pt idx="39">
                  <c:v>172</c:v>
                </c:pt>
                <c:pt idx="40">
                  <c:v>128</c:v>
                </c:pt>
                <c:pt idx="41">
                  <c:v>191</c:v>
                </c:pt>
                <c:pt idx="42">
                  <c:v>125</c:v>
                </c:pt>
                <c:pt idx="43">
                  <c:v>126</c:v>
                </c:pt>
                <c:pt idx="44">
                  <c:v>121</c:v>
                </c:pt>
                <c:pt idx="45">
                  <c:v>156</c:v>
                </c:pt>
                <c:pt idx="46">
                  <c:v>192</c:v>
                </c:pt>
                <c:pt idx="47">
                  <c:v>105</c:v>
                </c:pt>
                <c:pt idx="48">
                  <c:v>200</c:v>
                </c:pt>
                <c:pt idx="49">
                  <c:v>179</c:v>
                </c:pt>
                <c:pt idx="50">
                  <c:v>113</c:v>
                </c:pt>
                <c:pt idx="51">
                  <c:v>146</c:v>
                </c:pt>
                <c:pt idx="52">
                  <c:v>173</c:v>
                </c:pt>
                <c:pt idx="53">
                  <c:v>189</c:v>
                </c:pt>
                <c:pt idx="54">
                  <c:v>154</c:v>
                </c:pt>
                <c:pt idx="55">
                  <c:v>177</c:v>
                </c:pt>
                <c:pt idx="56">
                  <c:v>106</c:v>
                </c:pt>
                <c:pt idx="57">
                  <c:v>190</c:v>
                </c:pt>
                <c:pt idx="58">
                  <c:v>191</c:v>
                </c:pt>
                <c:pt idx="59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168-4A8E-B442-73D9B2BD7974}"/>
            </c:ext>
          </c:extLst>
        </c:ser>
        <c:ser>
          <c:idx val="0"/>
          <c:order val="2"/>
          <c:tx>
            <c:strRef>
              <c:f>'Vertical Raincloud - 3 Clouds'!$O$9</c:f>
              <c:strCache>
                <c:ptCount val="1"/>
                <c:pt idx="0">
                  <c:v>Cloud 3: Distribution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'Vertical Raincloud - 3 Clouds'!$L$10:$L$69</c:f>
              <c:numCache>
                <c:formatCode>General</c:formatCode>
                <c:ptCount val="60"/>
                <c:pt idx="0">
                  <c:v>3.5</c:v>
                </c:pt>
                <c:pt idx="1">
                  <c:v>3.5</c:v>
                </c:pt>
                <c:pt idx="2">
                  <c:v>3.6</c:v>
                </c:pt>
                <c:pt idx="3">
                  <c:v>3.7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3.6</c:v>
                </c:pt>
                <c:pt idx="8">
                  <c:v>3.5</c:v>
                </c:pt>
                <c:pt idx="9">
                  <c:v>3.5</c:v>
                </c:pt>
                <c:pt idx="10">
                  <c:v>3.6</c:v>
                </c:pt>
                <c:pt idx="11">
                  <c:v>3.5</c:v>
                </c:pt>
                <c:pt idx="12">
                  <c:v>3.6</c:v>
                </c:pt>
                <c:pt idx="13">
                  <c:v>3.5</c:v>
                </c:pt>
                <c:pt idx="14">
                  <c:v>3.5</c:v>
                </c:pt>
                <c:pt idx="15">
                  <c:v>3.6</c:v>
                </c:pt>
                <c:pt idx="16">
                  <c:v>3.5</c:v>
                </c:pt>
                <c:pt idx="17">
                  <c:v>3.5</c:v>
                </c:pt>
                <c:pt idx="18">
                  <c:v>3.6</c:v>
                </c:pt>
                <c:pt idx="19">
                  <c:v>3.5</c:v>
                </c:pt>
                <c:pt idx="20">
                  <c:v>3.6</c:v>
                </c:pt>
                <c:pt idx="21">
                  <c:v>3.5</c:v>
                </c:pt>
                <c:pt idx="22">
                  <c:v>3.5</c:v>
                </c:pt>
                <c:pt idx="23">
                  <c:v>3.5</c:v>
                </c:pt>
                <c:pt idx="24">
                  <c:v>3.5</c:v>
                </c:pt>
                <c:pt idx="25">
                  <c:v>3.6</c:v>
                </c:pt>
                <c:pt idx="26">
                  <c:v>3.5</c:v>
                </c:pt>
                <c:pt idx="27">
                  <c:v>3.5</c:v>
                </c:pt>
                <c:pt idx="28">
                  <c:v>3.5</c:v>
                </c:pt>
                <c:pt idx="29">
                  <c:v>3.5</c:v>
                </c:pt>
                <c:pt idx="30">
                  <c:v>3.6</c:v>
                </c:pt>
                <c:pt idx="31">
                  <c:v>3.5</c:v>
                </c:pt>
                <c:pt idx="32">
                  <c:v>3.5</c:v>
                </c:pt>
                <c:pt idx="33">
                  <c:v>3.6</c:v>
                </c:pt>
                <c:pt idx="34">
                  <c:v>3.5</c:v>
                </c:pt>
                <c:pt idx="35">
                  <c:v>3.6</c:v>
                </c:pt>
                <c:pt idx="36">
                  <c:v>3.5</c:v>
                </c:pt>
                <c:pt idx="37">
                  <c:v>3.5</c:v>
                </c:pt>
                <c:pt idx="38">
                  <c:v>3.6</c:v>
                </c:pt>
                <c:pt idx="39">
                  <c:v>3.5</c:v>
                </c:pt>
                <c:pt idx="40">
                  <c:v>3.5</c:v>
                </c:pt>
                <c:pt idx="41">
                  <c:v>3.6</c:v>
                </c:pt>
                <c:pt idx="42">
                  <c:v>3.5</c:v>
                </c:pt>
                <c:pt idx="43">
                  <c:v>3.6</c:v>
                </c:pt>
                <c:pt idx="44">
                  <c:v>3.5</c:v>
                </c:pt>
                <c:pt idx="45">
                  <c:v>3.5</c:v>
                </c:pt>
                <c:pt idx="46">
                  <c:v>3.5</c:v>
                </c:pt>
                <c:pt idx="47">
                  <c:v>3.5</c:v>
                </c:pt>
                <c:pt idx="48">
                  <c:v>3.6</c:v>
                </c:pt>
                <c:pt idx="49">
                  <c:v>3.5</c:v>
                </c:pt>
                <c:pt idx="50">
                  <c:v>3.5</c:v>
                </c:pt>
                <c:pt idx="51">
                  <c:v>3.6</c:v>
                </c:pt>
                <c:pt idx="52">
                  <c:v>3.7</c:v>
                </c:pt>
                <c:pt idx="53">
                  <c:v>3.8000000000000003</c:v>
                </c:pt>
                <c:pt idx="54">
                  <c:v>3.5</c:v>
                </c:pt>
                <c:pt idx="55">
                  <c:v>3.5</c:v>
                </c:pt>
                <c:pt idx="56">
                  <c:v>3.5</c:v>
                </c:pt>
                <c:pt idx="57">
                  <c:v>3.6</c:v>
                </c:pt>
                <c:pt idx="58">
                  <c:v>3.5</c:v>
                </c:pt>
                <c:pt idx="59">
                  <c:v>3.5</c:v>
                </c:pt>
              </c:numCache>
            </c:numRef>
          </c:xVal>
          <c:yVal>
            <c:numRef>
              <c:f>'Vertical Raincloud - 3 Clouds'!$O$10:$O$69</c:f>
              <c:numCache>
                <c:formatCode>General</c:formatCode>
                <c:ptCount val="60"/>
                <c:pt idx="0">
                  <c:v>204</c:v>
                </c:pt>
                <c:pt idx="1">
                  <c:v>206</c:v>
                </c:pt>
                <c:pt idx="2">
                  <c:v>206</c:v>
                </c:pt>
                <c:pt idx="3">
                  <c:v>206</c:v>
                </c:pt>
                <c:pt idx="4">
                  <c:v>208</c:v>
                </c:pt>
                <c:pt idx="5">
                  <c:v>209</c:v>
                </c:pt>
                <c:pt idx="6">
                  <c:v>211</c:v>
                </c:pt>
                <c:pt idx="7">
                  <c:v>211</c:v>
                </c:pt>
                <c:pt idx="8">
                  <c:v>213</c:v>
                </c:pt>
                <c:pt idx="9">
                  <c:v>216</c:v>
                </c:pt>
                <c:pt idx="10">
                  <c:v>216</c:v>
                </c:pt>
                <c:pt idx="11">
                  <c:v>217</c:v>
                </c:pt>
                <c:pt idx="12">
                  <c:v>217</c:v>
                </c:pt>
                <c:pt idx="13">
                  <c:v>218</c:v>
                </c:pt>
                <c:pt idx="14">
                  <c:v>223</c:v>
                </c:pt>
                <c:pt idx="15">
                  <c:v>223</c:v>
                </c:pt>
                <c:pt idx="16">
                  <c:v>224</c:v>
                </c:pt>
                <c:pt idx="17">
                  <c:v>225</c:v>
                </c:pt>
                <c:pt idx="18">
                  <c:v>225</c:v>
                </c:pt>
                <c:pt idx="19">
                  <c:v>226</c:v>
                </c:pt>
                <c:pt idx="20">
                  <c:v>226</c:v>
                </c:pt>
                <c:pt idx="21">
                  <c:v>229</c:v>
                </c:pt>
                <c:pt idx="22">
                  <c:v>230</c:v>
                </c:pt>
                <c:pt idx="23">
                  <c:v>237</c:v>
                </c:pt>
                <c:pt idx="24">
                  <c:v>240</c:v>
                </c:pt>
                <c:pt idx="25">
                  <c:v>240</c:v>
                </c:pt>
                <c:pt idx="26">
                  <c:v>241</c:v>
                </c:pt>
                <c:pt idx="27">
                  <c:v>242</c:v>
                </c:pt>
                <c:pt idx="28">
                  <c:v>248</c:v>
                </c:pt>
                <c:pt idx="29">
                  <c:v>250</c:v>
                </c:pt>
                <c:pt idx="30">
                  <c:v>250</c:v>
                </c:pt>
                <c:pt idx="31">
                  <c:v>251</c:v>
                </c:pt>
                <c:pt idx="32">
                  <c:v>252</c:v>
                </c:pt>
                <c:pt idx="33">
                  <c:v>252</c:v>
                </c:pt>
                <c:pt idx="34">
                  <c:v>253</c:v>
                </c:pt>
                <c:pt idx="35">
                  <c:v>253</c:v>
                </c:pt>
                <c:pt idx="36">
                  <c:v>254</c:v>
                </c:pt>
                <c:pt idx="37">
                  <c:v>257</c:v>
                </c:pt>
                <c:pt idx="38">
                  <c:v>257</c:v>
                </c:pt>
                <c:pt idx="39">
                  <c:v>259</c:v>
                </c:pt>
                <c:pt idx="40">
                  <c:v>262</c:v>
                </c:pt>
                <c:pt idx="41">
                  <c:v>262</c:v>
                </c:pt>
                <c:pt idx="42">
                  <c:v>265</c:v>
                </c:pt>
                <c:pt idx="43">
                  <c:v>265</c:v>
                </c:pt>
                <c:pt idx="44">
                  <c:v>272</c:v>
                </c:pt>
                <c:pt idx="45">
                  <c:v>274</c:v>
                </c:pt>
                <c:pt idx="46">
                  <c:v>280</c:v>
                </c:pt>
                <c:pt idx="47">
                  <c:v>283</c:v>
                </c:pt>
                <c:pt idx="48">
                  <c:v>283</c:v>
                </c:pt>
                <c:pt idx="49">
                  <c:v>285</c:v>
                </c:pt>
                <c:pt idx="50">
                  <c:v>290</c:v>
                </c:pt>
                <c:pt idx="51">
                  <c:v>290</c:v>
                </c:pt>
                <c:pt idx="52">
                  <c:v>290</c:v>
                </c:pt>
                <c:pt idx="53">
                  <c:v>290</c:v>
                </c:pt>
                <c:pt idx="54">
                  <c:v>292</c:v>
                </c:pt>
                <c:pt idx="55">
                  <c:v>293</c:v>
                </c:pt>
                <c:pt idx="56">
                  <c:v>295</c:v>
                </c:pt>
                <c:pt idx="57">
                  <c:v>295</c:v>
                </c:pt>
                <c:pt idx="58">
                  <c:v>297</c:v>
                </c:pt>
                <c:pt idx="59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168-4A8E-B442-73D9B2BD7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86320"/>
        <c:axId val="31284240"/>
      </c:scatterChart>
      <c:valAx>
        <c:axId val="3128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4240"/>
        <c:crosses val="autoZero"/>
        <c:crossBetween val="midCat"/>
      </c:valAx>
      <c:valAx>
        <c:axId val="3128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6320"/>
        <c:crosses val="autoZero"/>
        <c:crossBetween val="midCat"/>
      </c:valAx>
    </c:plotArea>
    <c:plotVisOnly val="1"/>
    <c:dispBlanksAs val="gap"/>
    <c:showDLblsOverMax val="0"/>
    <c:extLst/>
  </c:chart>
  <c:spPr>
    <a:ln>
      <a:solidFill>
        <a:srgbClr val="D9D9D9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Vertical Raincloud</a:t>
            </a:r>
            <a:r>
              <a:rPr lang="en-AU" baseline="0"/>
              <a:t> Chart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'Vertical Raincloud - 3 Clouds'!$Q$22</c:f>
              <c:strCache>
                <c:ptCount val="1"/>
                <c:pt idx="0">
                  <c:v>Base 25th</c:v>
                </c:pt>
              </c:strCache>
            </c:strRef>
          </c:tx>
          <c:spPr>
            <a:noFill/>
          </c:spPr>
          <c:invertIfNegative val="0"/>
          <c:cat>
            <c:strRef>
              <c:f>'Vertical Raincloud - 3 Clouds'!$R$21:$T$21</c:f>
              <c:strCache>
                <c:ptCount val="3"/>
                <c:pt idx="0">
                  <c:v>Stacked: Cloud 1</c:v>
                </c:pt>
                <c:pt idx="1">
                  <c:v>Stacked: Cloud 2</c:v>
                </c:pt>
                <c:pt idx="2">
                  <c:v>Stacked: Cloud 3</c:v>
                </c:pt>
              </c:strCache>
            </c:strRef>
          </c:cat>
          <c:val>
            <c:numRef>
              <c:f>'Vertical Raincloud - 3 Clouds'!$R$22:$T$22</c:f>
              <c:numCache>
                <c:formatCode>General</c:formatCode>
                <c:ptCount val="3"/>
                <c:pt idx="0">
                  <c:v>20.5</c:v>
                </c:pt>
                <c:pt idx="1">
                  <c:v>123.75</c:v>
                </c:pt>
                <c:pt idx="2">
                  <c:v>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08B-415A-B197-0D207046324E}"/>
            </c:ext>
          </c:extLst>
        </c:ser>
        <c:ser>
          <c:idx val="4"/>
          <c:order val="1"/>
          <c:tx>
            <c:strRef>
              <c:f>'Vertical Raincloud - 3 Clouds'!$Q$23</c:f>
              <c:strCache>
                <c:ptCount val="1"/>
                <c:pt idx="0">
                  <c:v>Bottom 25-50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'Vertical Raincloud - 3 Clouds'!$R$21:$T$21</c:f>
              <c:strCache>
                <c:ptCount val="3"/>
                <c:pt idx="0">
                  <c:v>Stacked: Cloud 1</c:v>
                </c:pt>
                <c:pt idx="1">
                  <c:v>Stacked: Cloud 2</c:v>
                </c:pt>
                <c:pt idx="2">
                  <c:v>Stacked: Cloud 3</c:v>
                </c:pt>
              </c:strCache>
            </c:strRef>
          </c:cat>
          <c:val>
            <c:numRef>
              <c:f>'Vertical Raincloud - 3 Clouds'!$R$23:$T$23</c:f>
              <c:numCache>
                <c:formatCode>General</c:formatCode>
                <c:ptCount val="3"/>
                <c:pt idx="0">
                  <c:v>23</c:v>
                </c:pt>
                <c:pt idx="1">
                  <c:v>31.25</c:v>
                </c:pt>
                <c:pt idx="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08B-415A-B197-0D207046324E}"/>
            </c:ext>
          </c:extLst>
        </c:ser>
        <c:ser>
          <c:idx val="5"/>
          <c:order val="2"/>
          <c:tx>
            <c:strRef>
              <c:f>'Vertical Raincloud - 3 Clouds'!$Q$24</c:f>
              <c:strCache>
                <c:ptCount val="1"/>
                <c:pt idx="0">
                  <c:v>Top 50-75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'Vertical Raincloud - 3 Clouds'!$R$21:$T$21</c:f>
              <c:strCache>
                <c:ptCount val="3"/>
                <c:pt idx="0">
                  <c:v>Stacked: Cloud 1</c:v>
                </c:pt>
                <c:pt idx="1">
                  <c:v>Stacked: Cloud 2</c:v>
                </c:pt>
                <c:pt idx="2">
                  <c:v>Stacked: Cloud 3</c:v>
                </c:pt>
              </c:strCache>
            </c:strRef>
          </c:cat>
          <c:val>
            <c:numRef>
              <c:f>'Vertical Raincloud - 3 Clouds'!$R$24:$T$24</c:f>
              <c:numCache>
                <c:formatCode>General</c:formatCode>
                <c:ptCount val="3"/>
                <c:pt idx="0">
                  <c:v>21.25</c:v>
                </c:pt>
                <c:pt idx="1">
                  <c:v>27</c:v>
                </c:pt>
                <c:pt idx="2">
                  <c:v>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08B-415A-B197-0D2070463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286320"/>
        <c:axId val="31284240"/>
      </c:barChart>
      <c:scatterChart>
        <c:scatterStyle val="lineMarker"/>
        <c:varyColors val="0"/>
        <c:ser>
          <c:idx val="6"/>
          <c:order val="3"/>
          <c:tx>
            <c:strRef>
              <c:f>'Vertical Raincloud - 3 Clouds'!$W$39</c:f>
              <c:strCache>
                <c:ptCount val="1"/>
              </c:strCache>
            </c:strRef>
          </c:tx>
          <c:spPr>
            <a:ln w="28575">
              <a:noFill/>
            </a:ln>
            <a:effectLst/>
          </c:spPr>
          <c:marker>
            <c:symbol val="x"/>
            <c:size val="7"/>
          </c:marker>
          <c:errBars>
            <c:errDir val="y"/>
            <c:errBarType val="both"/>
            <c:errValType val="cust"/>
            <c:noEndCap val="0"/>
            <c:plus>
              <c:numRef>
                <c:f>'Vertical Raincloud - 3 Clouds'!$R$30:$T$30</c:f>
                <c:numCache>
                  <c:formatCode>General</c:formatCode>
                  <c:ptCount val="3"/>
                  <c:pt idx="0">
                    <c:v>46.5</c:v>
                  </c:pt>
                  <c:pt idx="1">
                    <c:v>36.099999999999994</c:v>
                  </c:pt>
                  <c:pt idx="2">
                    <c:v>40.199999999999989</c:v>
                  </c:pt>
                </c:numCache>
              </c:numRef>
            </c:plus>
            <c:minus>
              <c:numRef>
                <c:f>'Vertical Raincloud - 3 Clouds'!$R$31:$T$31</c:f>
                <c:numCache>
                  <c:formatCode>General</c:formatCode>
                  <c:ptCount val="3"/>
                  <c:pt idx="0">
                    <c:v>31.6</c:v>
                  </c:pt>
                  <c:pt idx="1">
                    <c:v>42.2</c:v>
                  </c:pt>
                  <c:pt idx="2">
                    <c:v>39.199999999999989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'Vertical Raincloud - 3 Clouds'!$R$26:$T$26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'Vertical Raincloud - 3 Clouds'!$R$27:$T$27</c:f>
              <c:numCache>
                <c:formatCode>General</c:formatCode>
                <c:ptCount val="3"/>
                <c:pt idx="0">
                  <c:v>43.5</c:v>
                </c:pt>
                <c:pt idx="1">
                  <c:v>155</c:v>
                </c:pt>
                <c:pt idx="2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08B-415A-B197-0D207046324E}"/>
            </c:ext>
          </c:extLst>
        </c:ser>
        <c:ser>
          <c:idx val="1"/>
          <c:order val="4"/>
          <c:tx>
            <c:strRef>
              <c:f>'Vertical Raincloud - 3 Clouds'!$M$9</c:f>
              <c:strCache>
                <c:ptCount val="1"/>
                <c:pt idx="0">
                  <c:v>Cloud 1: Distribution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'Vertical Raincloud - 3 Clouds'!$J$10:$J$69</c:f>
              <c:numCache>
                <c:formatCode>General</c:formatCode>
                <c:ptCount val="6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1.6</c:v>
                </c:pt>
                <c:pt idx="18">
                  <c:v>1.7000000000000002</c:v>
                </c:pt>
                <c:pt idx="19">
                  <c:v>1.5</c:v>
                </c:pt>
                <c:pt idx="20">
                  <c:v>1.5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1.6</c:v>
                </c:pt>
                <c:pt idx="26">
                  <c:v>1.7000000000000002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1.6</c:v>
                </c:pt>
                <c:pt idx="33">
                  <c:v>1.7000000000000002</c:v>
                </c:pt>
                <c:pt idx="34">
                  <c:v>1.8000000000000003</c:v>
                </c:pt>
                <c:pt idx="35">
                  <c:v>1.5</c:v>
                </c:pt>
                <c:pt idx="36">
                  <c:v>1.6</c:v>
                </c:pt>
                <c:pt idx="37">
                  <c:v>1.7000000000000002</c:v>
                </c:pt>
                <c:pt idx="38">
                  <c:v>1.5</c:v>
                </c:pt>
                <c:pt idx="39">
                  <c:v>1.6</c:v>
                </c:pt>
                <c:pt idx="40">
                  <c:v>1.5</c:v>
                </c:pt>
                <c:pt idx="41">
                  <c:v>1.6</c:v>
                </c:pt>
                <c:pt idx="42">
                  <c:v>1.5</c:v>
                </c:pt>
                <c:pt idx="43">
                  <c:v>1.6</c:v>
                </c:pt>
                <c:pt idx="44">
                  <c:v>1.5</c:v>
                </c:pt>
                <c:pt idx="45">
                  <c:v>1.5</c:v>
                </c:pt>
                <c:pt idx="46">
                  <c:v>1.5</c:v>
                </c:pt>
                <c:pt idx="47">
                  <c:v>1.6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  <c:pt idx="51">
                  <c:v>1.5</c:v>
                </c:pt>
                <c:pt idx="52">
                  <c:v>1.5</c:v>
                </c:pt>
                <c:pt idx="53">
                  <c:v>1.6</c:v>
                </c:pt>
                <c:pt idx="54">
                  <c:v>1.5</c:v>
                </c:pt>
                <c:pt idx="55">
                  <c:v>1.6</c:v>
                </c:pt>
                <c:pt idx="56">
                  <c:v>1.7000000000000002</c:v>
                </c:pt>
                <c:pt idx="57">
                  <c:v>1.8000000000000003</c:v>
                </c:pt>
                <c:pt idx="58">
                  <c:v>1.9000000000000004</c:v>
                </c:pt>
                <c:pt idx="59">
                  <c:v>1.5</c:v>
                </c:pt>
              </c:numCache>
            </c:numRef>
          </c:xVal>
          <c:yVal>
            <c:numRef>
              <c:f>'Vertical Raincloud - 3 Clouds'!$M$10:$M$69</c:f>
              <c:numCache>
                <c:formatCode>General</c:formatCode>
                <c:ptCount val="60"/>
                <c:pt idx="0">
                  <c:v>12</c:v>
                </c:pt>
                <c:pt idx="1">
                  <c:v>99</c:v>
                </c:pt>
                <c:pt idx="2">
                  <c:v>52</c:v>
                </c:pt>
                <c:pt idx="3">
                  <c:v>28</c:v>
                </c:pt>
                <c:pt idx="4">
                  <c:v>38</c:v>
                </c:pt>
                <c:pt idx="5">
                  <c:v>50</c:v>
                </c:pt>
                <c:pt idx="6">
                  <c:v>67</c:v>
                </c:pt>
                <c:pt idx="7">
                  <c:v>48</c:v>
                </c:pt>
                <c:pt idx="8">
                  <c:v>33</c:v>
                </c:pt>
                <c:pt idx="9">
                  <c:v>29</c:v>
                </c:pt>
                <c:pt idx="10">
                  <c:v>34</c:v>
                </c:pt>
                <c:pt idx="11">
                  <c:v>68</c:v>
                </c:pt>
                <c:pt idx="12">
                  <c:v>62</c:v>
                </c:pt>
                <c:pt idx="13">
                  <c:v>64</c:v>
                </c:pt>
                <c:pt idx="14">
                  <c:v>92</c:v>
                </c:pt>
                <c:pt idx="15">
                  <c:v>8</c:v>
                </c:pt>
                <c:pt idx="16">
                  <c:v>60</c:v>
                </c:pt>
                <c:pt idx="17">
                  <c:v>12</c:v>
                </c:pt>
                <c:pt idx="18">
                  <c:v>48</c:v>
                </c:pt>
                <c:pt idx="19">
                  <c:v>31</c:v>
                </c:pt>
                <c:pt idx="20">
                  <c:v>18</c:v>
                </c:pt>
                <c:pt idx="21">
                  <c:v>56</c:v>
                </c:pt>
                <c:pt idx="22">
                  <c:v>90</c:v>
                </c:pt>
                <c:pt idx="23">
                  <c:v>10</c:v>
                </c:pt>
                <c:pt idx="24">
                  <c:v>9</c:v>
                </c:pt>
                <c:pt idx="25">
                  <c:v>92</c:v>
                </c:pt>
                <c:pt idx="26">
                  <c:v>31</c:v>
                </c:pt>
                <c:pt idx="27">
                  <c:v>13</c:v>
                </c:pt>
                <c:pt idx="28">
                  <c:v>93</c:v>
                </c:pt>
                <c:pt idx="29">
                  <c:v>95</c:v>
                </c:pt>
                <c:pt idx="30">
                  <c:v>11</c:v>
                </c:pt>
                <c:pt idx="31">
                  <c:v>27</c:v>
                </c:pt>
                <c:pt idx="32">
                  <c:v>31</c:v>
                </c:pt>
                <c:pt idx="33">
                  <c:v>67</c:v>
                </c:pt>
                <c:pt idx="34">
                  <c:v>68</c:v>
                </c:pt>
                <c:pt idx="35">
                  <c:v>19</c:v>
                </c:pt>
                <c:pt idx="36">
                  <c:v>28</c:v>
                </c:pt>
                <c:pt idx="37">
                  <c:v>29</c:v>
                </c:pt>
                <c:pt idx="38">
                  <c:v>17</c:v>
                </c:pt>
                <c:pt idx="39">
                  <c:v>18</c:v>
                </c:pt>
                <c:pt idx="40">
                  <c:v>44</c:v>
                </c:pt>
                <c:pt idx="41">
                  <c:v>60</c:v>
                </c:pt>
                <c:pt idx="42">
                  <c:v>43</c:v>
                </c:pt>
                <c:pt idx="43">
                  <c:v>68</c:v>
                </c:pt>
                <c:pt idx="44">
                  <c:v>39</c:v>
                </c:pt>
                <c:pt idx="45">
                  <c:v>15</c:v>
                </c:pt>
                <c:pt idx="46">
                  <c:v>21</c:v>
                </c:pt>
                <c:pt idx="47">
                  <c:v>8</c:v>
                </c:pt>
                <c:pt idx="48">
                  <c:v>53</c:v>
                </c:pt>
                <c:pt idx="49">
                  <c:v>1</c:v>
                </c:pt>
                <c:pt idx="50">
                  <c:v>63</c:v>
                </c:pt>
                <c:pt idx="51">
                  <c:v>73</c:v>
                </c:pt>
                <c:pt idx="52">
                  <c:v>78</c:v>
                </c:pt>
                <c:pt idx="53">
                  <c:v>90</c:v>
                </c:pt>
                <c:pt idx="54">
                  <c:v>51</c:v>
                </c:pt>
                <c:pt idx="55">
                  <c:v>27</c:v>
                </c:pt>
                <c:pt idx="56">
                  <c:v>56</c:v>
                </c:pt>
                <c:pt idx="57">
                  <c:v>12</c:v>
                </c:pt>
                <c:pt idx="58">
                  <c:v>53</c:v>
                </c:pt>
                <c:pt idx="59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08B-415A-B197-0D207046324E}"/>
            </c:ext>
          </c:extLst>
        </c:ser>
        <c:ser>
          <c:idx val="2"/>
          <c:order val="5"/>
          <c:tx>
            <c:strRef>
              <c:f>'Vertical Raincloud - 3 Clouds'!$N$9</c:f>
              <c:strCache>
                <c:ptCount val="1"/>
                <c:pt idx="0">
                  <c:v>Cloud 2: Distribution</c:v>
                </c:pt>
              </c:strCache>
            </c:strRef>
          </c:tx>
          <c:spPr>
            <a:ln w="28575">
              <a:noFill/>
            </a:ln>
            <a:effectLst/>
          </c:spPr>
          <c:marker>
            <c:symbol val="circle"/>
            <c:size val="3"/>
          </c:marker>
          <c:xVal>
            <c:numRef>
              <c:f>'Vertical Raincloud - 3 Clouds'!$K$10:$K$69</c:f>
              <c:numCache>
                <c:formatCode>General</c:formatCode>
                <c:ptCount val="60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2.6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2.6</c:v>
                </c:pt>
                <c:pt idx="24">
                  <c:v>2.5</c:v>
                </c:pt>
                <c:pt idx="25">
                  <c:v>2.6</c:v>
                </c:pt>
                <c:pt idx="26">
                  <c:v>2.5</c:v>
                </c:pt>
                <c:pt idx="27">
                  <c:v>2.5</c:v>
                </c:pt>
                <c:pt idx="28">
                  <c:v>2.5</c:v>
                </c:pt>
                <c:pt idx="29">
                  <c:v>2.6</c:v>
                </c:pt>
                <c:pt idx="30">
                  <c:v>2.5</c:v>
                </c:pt>
                <c:pt idx="31">
                  <c:v>2.6</c:v>
                </c:pt>
                <c:pt idx="32">
                  <c:v>2.7</c:v>
                </c:pt>
                <c:pt idx="33">
                  <c:v>2.5</c:v>
                </c:pt>
                <c:pt idx="34">
                  <c:v>2.5</c:v>
                </c:pt>
                <c:pt idx="35">
                  <c:v>2.6</c:v>
                </c:pt>
                <c:pt idx="36">
                  <c:v>2.7</c:v>
                </c:pt>
                <c:pt idx="37">
                  <c:v>2.5</c:v>
                </c:pt>
                <c:pt idx="38">
                  <c:v>2.5</c:v>
                </c:pt>
                <c:pt idx="39">
                  <c:v>2.5</c:v>
                </c:pt>
                <c:pt idx="40">
                  <c:v>2.5</c:v>
                </c:pt>
                <c:pt idx="41">
                  <c:v>2.6</c:v>
                </c:pt>
                <c:pt idx="42">
                  <c:v>2.5</c:v>
                </c:pt>
                <c:pt idx="43">
                  <c:v>2.5</c:v>
                </c:pt>
                <c:pt idx="44">
                  <c:v>2.5</c:v>
                </c:pt>
                <c:pt idx="45">
                  <c:v>2.5</c:v>
                </c:pt>
                <c:pt idx="46">
                  <c:v>2.5</c:v>
                </c:pt>
                <c:pt idx="47">
                  <c:v>2.6</c:v>
                </c:pt>
                <c:pt idx="48">
                  <c:v>2.5</c:v>
                </c:pt>
                <c:pt idx="49">
                  <c:v>2.5</c:v>
                </c:pt>
                <c:pt idx="50">
                  <c:v>2.5</c:v>
                </c:pt>
                <c:pt idx="51">
                  <c:v>2.5</c:v>
                </c:pt>
                <c:pt idx="52">
                  <c:v>2.5</c:v>
                </c:pt>
                <c:pt idx="53">
                  <c:v>2.5</c:v>
                </c:pt>
                <c:pt idx="54">
                  <c:v>2.5</c:v>
                </c:pt>
                <c:pt idx="55">
                  <c:v>2.5</c:v>
                </c:pt>
                <c:pt idx="56">
                  <c:v>2.5</c:v>
                </c:pt>
                <c:pt idx="57">
                  <c:v>2.5</c:v>
                </c:pt>
                <c:pt idx="58">
                  <c:v>2.6</c:v>
                </c:pt>
                <c:pt idx="59">
                  <c:v>2.5</c:v>
                </c:pt>
              </c:numCache>
            </c:numRef>
          </c:xVal>
          <c:yVal>
            <c:numRef>
              <c:f>'Vertical Raincloud - 3 Clouds'!$N$10:$N$69</c:f>
              <c:numCache>
                <c:formatCode>General</c:formatCode>
                <c:ptCount val="60"/>
                <c:pt idx="0">
                  <c:v>181</c:v>
                </c:pt>
                <c:pt idx="1">
                  <c:v>149</c:v>
                </c:pt>
                <c:pt idx="2">
                  <c:v>164</c:v>
                </c:pt>
                <c:pt idx="3">
                  <c:v>182</c:v>
                </c:pt>
                <c:pt idx="4">
                  <c:v>127</c:v>
                </c:pt>
                <c:pt idx="5">
                  <c:v>118</c:v>
                </c:pt>
                <c:pt idx="6">
                  <c:v>147</c:v>
                </c:pt>
                <c:pt idx="7">
                  <c:v>197</c:v>
                </c:pt>
                <c:pt idx="8">
                  <c:v>160</c:v>
                </c:pt>
                <c:pt idx="9">
                  <c:v>107</c:v>
                </c:pt>
                <c:pt idx="10">
                  <c:v>167</c:v>
                </c:pt>
                <c:pt idx="11">
                  <c:v>153</c:v>
                </c:pt>
                <c:pt idx="12">
                  <c:v>184</c:v>
                </c:pt>
                <c:pt idx="13">
                  <c:v>196</c:v>
                </c:pt>
                <c:pt idx="14">
                  <c:v>102</c:v>
                </c:pt>
                <c:pt idx="15">
                  <c:v>118</c:v>
                </c:pt>
                <c:pt idx="16">
                  <c:v>191</c:v>
                </c:pt>
                <c:pt idx="17">
                  <c:v>144</c:v>
                </c:pt>
                <c:pt idx="18">
                  <c:v>174</c:v>
                </c:pt>
                <c:pt idx="19">
                  <c:v>111</c:v>
                </c:pt>
                <c:pt idx="20">
                  <c:v>175</c:v>
                </c:pt>
                <c:pt idx="21">
                  <c:v>116</c:v>
                </c:pt>
                <c:pt idx="22">
                  <c:v>143</c:v>
                </c:pt>
                <c:pt idx="23">
                  <c:v>116</c:v>
                </c:pt>
                <c:pt idx="24">
                  <c:v>168</c:v>
                </c:pt>
                <c:pt idx="25">
                  <c:v>196</c:v>
                </c:pt>
                <c:pt idx="26">
                  <c:v>105</c:v>
                </c:pt>
                <c:pt idx="27">
                  <c:v>124</c:v>
                </c:pt>
                <c:pt idx="28">
                  <c:v>150</c:v>
                </c:pt>
                <c:pt idx="29">
                  <c:v>182</c:v>
                </c:pt>
                <c:pt idx="30">
                  <c:v>186</c:v>
                </c:pt>
                <c:pt idx="31">
                  <c:v>182</c:v>
                </c:pt>
                <c:pt idx="32">
                  <c:v>149</c:v>
                </c:pt>
                <c:pt idx="33">
                  <c:v>198</c:v>
                </c:pt>
                <c:pt idx="34">
                  <c:v>138</c:v>
                </c:pt>
                <c:pt idx="35">
                  <c:v>160</c:v>
                </c:pt>
                <c:pt idx="36">
                  <c:v>191</c:v>
                </c:pt>
                <c:pt idx="37">
                  <c:v>117</c:v>
                </c:pt>
                <c:pt idx="38">
                  <c:v>123</c:v>
                </c:pt>
                <c:pt idx="39">
                  <c:v>172</c:v>
                </c:pt>
                <c:pt idx="40">
                  <c:v>128</c:v>
                </c:pt>
                <c:pt idx="41">
                  <c:v>191</c:v>
                </c:pt>
                <c:pt idx="42">
                  <c:v>125</c:v>
                </c:pt>
                <c:pt idx="43">
                  <c:v>126</c:v>
                </c:pt>
                <c:pt idx="44">
                  <c:v>121</c:v>
                </c:pt>
                <c:pt idx="45">
                  <c:v>156</c:v>
                </c:pt>
                <c:pt idx="46">
                  <c:v>192</c:v>
                </c:pt>
                <c:pt idx="47">
                  <c:v>105</c:v>
                </c:pt>
                <c:pt idx="48">
                  <c:v>200</c:v>
                </c:pt>
                <c:pt idx="49">
                  <c:v>179</c:v>
                </c:pt>
                <c:pt idx="50">
                  <c:v>113</c:v>
                </c:pt>
                <c:pt idx="51">
                  <c:v>146</c:v>
                </c:pt>
                <c:pt idx="52">
                  <c:v>173</c:v>
                </c:pt>
                <c:pt idx="53">
                  <c:v>189</c:v>
                </c:pt>
                <c:pt idx="54">
                  <c:v>154</c:v>
                </c:pt>
                <c:pt idx="55">
                  <c:v>177</c:v>
                </c:pt>
                <c:pt idx="56">
                  <c:v>106</c:v>
                </c:pt>
                <c:pt idx="57">
                  <c:v>190</c:v>
                </c:pt>
                <c:pt idx="58">
                  <c:v>191</c:v>
                </c:pt>
                <c:pt idx="59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08B-415A-B197-0D207046324E}"/>
            </c:ext>
          </c:extLst>
        </c:ser>
        <c:ser>
          <c:idx val="0"/>
          <c:order val="6"/>
          <c:tx>
            <c:strRef>
              <c:f>'Vertical Raincloud - 3 Clouds'!$O$9</c:f>
              <c:strCache>
                <c:ptCount val="1"/>
                <c:pt idx="0">
                  <c:v>Cloud 3: Distribution</c:v>
                </c:pt>
              </c:strCache>
            </c:strRef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'Vertical Raincloud - 3 Clouds'!$L$10:$L$69</c:f>
              <c:numCache>
                <c:formatCode>General</c:formatCode>
                <c:ptCount val="60"/>
                <c:pt idx="0">
                  <c:v>3.5</c:v>
                </c:pt>
                <c:pt idx="1">
                  <c:v>3.5</c:v>
                </c:pt>
                <c:pt idx="2">
                  <c:v>3.6</c:v>
                </c:pt>
                <c:pt idx="3">
                  <c:v>3.7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3.6</c:v>
                </c:pt>
                <c:pt idx="8">
                  <c:v>3.5</c:v>
                </c:pt>
                <c:pt idx="9">
                  <c:v>3.5</c:v>
                </c:pt>
                <c:pt idx="10">
                  <c:v>3.6</c:v>
                </c:pt>
                <c:pt idx="11">
                  <c:v>3.5</c:v>
                </c:pt>
                <c:pt idx="12">
                  <c:v>3.6</c:v>
                </c:pt>
                <c:pt idx="13">
                  <c:v>3.5</c:v>
                </c:pt>
                <c:pt idx="14">
                  <c:v>3.5</c:v>
                </c:pt>
                <c:pt idx="15">
                  <c:v>3.6</c:v>
                </c:pt>
                <c:pt idx="16">
                  <c:v>3.5</c:v>
                </c:pt>
                <c:pt idx="17">
                  <c:v>3.5</c:v>
                </c:pt>
                <c:pt idx="18">
                  <c:v>3.6</c:v>
                </c:pt>
                <c:pt idx="19">
                  <c:v>3.5</c:v>
                </c:pt>
                <c:pt idx="20">
                  <c:v>3.6</c:v>
                </c:pt>
                <c:pt idx="21">
                  <c:v>3.5</c:v>
                </c:pt>
                <c:pt idx="22">
                  <c:v>3.5</c:v>
                </c:pt>
                <c:pt idx="23">
                  <c:v>3.5</c:v>
                </c:pt>
                <c:pt idx="24">
                  <c:v>3.5</c:v>
                </c:pt>
                <c:pt idx="25">
                  <c:v>3.6</c:v>
                </c:pt>
                <c:pt idx="26">
                  <c:v>3.5</c:v>
                </c:pt>
                <c:pt idx="27">
                  <c:v>3.5</c:v>
                </c:pt>
                <c:pt idx="28">
                  <c:v>3.5</c:v>
                </c:pt>
                <c:pt idx="29">
                  <c:v>3.5</c:v>
                </c:pt>
                <c:pt idx="30">
                  <c:v>3.6</c:v>
                </c:pt>
                <c:pt idx="31">
                  <c:v>3.5</c:v>
                </c:pt>
                <c:pt idx="32">
                  <c:v>3.5</c:v>
                </c:pt>
                <c:pt idx="33">
                  <c:v>3.6</c:v>
                </c:pt>
                <c:pt idx="34">
                  <c:v>3.5</c:v>
                </c:pt>
                <c:pt idx="35">
                  <c:v>3.6</c:v>
                </c:pt>
                <c:pt idx="36">
                  <c:v>3.5</c:v>
                </c:pt>
                <c:pt idx="37">
                  <c:v>3.5</c:v>
                </c:pt>
                <c:pt idx="38">
                  <c:v>3.6</c:v>
                </c:pt>
                <c:pt idx="39">
                  <c:v>3.5</c:v>
                </c:pt>
                <c:pt idx="40">
                  <c:v>3.5</c:v>
                </c:pt>
                <c:pt idx="41">
                  <c:v>3.6</c:v>
                </c:pt>
                <c:pt idx="42">
                  <c:v>3.5</c:v>
                </c:pt>
                <c:pt idx="43">
                  <c:v>3.6</c:v>
                </c:pt>
                <c:pt idx="44">
                  <c:v>3.5</c:v>
                </c:pt>
                <c:pt idx="45">
                  <c:v>3.5</c:v>
                </c:pt>
                <c:pt idx="46">
                  <c:v>3.5</c:v>
                </c:pt>
                <c:pt idx="47">
                  <c:v>3.5</c:v>
                </c:pt>
                <c:pt idx="48">
                  <c:v>3.6</c:v>
                </c:pt>
                <c:pt idx="49">
                  <c:v>3.5</c:v>
                </c:pt>
                <c:pt idx="50">
                  <c:v>3.5</c:v>
                </c:pt>
                <c:pt idx="51">
                  <c:v>3.6</c:v>
                </c:pt>
                <c:pt idx="52">
                  <c:v>3.7</c:v>
                </c:pt>
                <c:pt idx="53">
                  <c:v>3.8000000000000003</c:v>
                </c:pt>
                <c:pt idx="54">
                  <c:v>3.5</c:v>
                </c:pt>
                <c:pt idx="55">
                  <c:v>3.5</c:v>
                </c:pt>
                <c:pt idx="56">
                  <c:v>3.5</c:v>
                </c:pt>
                <c:pt idx="57">
                  <c:v>3.6</c:v>
                </c:pt>
                <c:pt idx="58">
                  <c:v>3.5</c:v>
                </c:pt>
                <c:pt idx="59">
                  <c:v>3.5</c:v>
                </c:pt>
              </c:numCache>
            </c:numRef>
          </c:xVal>
          <c:yVal>
            <c:numRef>
              <c:f>'Vertical Raincloud - 3 Clouds'!$O$10:$O$69</c:f>
              <c:numCache>
                <c:formatCode>General</c:formatCode>
                <c:ptCount val="60"/>
                <c:pt idx="0">
                  <c:v>204</c:v>
                </c:pt>
                <c:pt idx="1">
                  <c:v>206</c:v>
                </c:pt>
                <c:pt idx="2">
                  <c:v>206</c:v>
                </c:pt>
                <c:pt idx="3">
                  <c:v>206</c:v>
                </c:pt>
                <c:pt idx="4">
                  <c:v>208</c:v>
                </c:pt>
                <c:pt idx="5">
                  <c:v>209</c:v>
                </c:pt>
                <c:pt idx="6">
                  <c:v>211</c:v>
                </c:pt>
                <c:pt idx="7">
                  <c:v>211</c:v>
                </c:pt>
                <c:pt idx="8">
                  <c:v>213</c:v>
                </c:pt>
                <c:pt idx="9">
                  <c:v>216</c:v>
                </c:pt>
                <c:pt idx="10">
                  <c:v>216</c:v>
                </c:pt>
                <c:pt idx="11">
                  <c:v>217</c:v>
                </c:pt>
                <c:pt idx="12">
                  <c:v>217</c:v>
                </c:pt>
                <c:pt idx="13">
                  <c:v>218</c:v>
                </c:pt>
                <c:pt idx="14">
                  <c:v>223</c:v>
                </c:pt>
                <c:pt idx="15">
                  <c:v>223</c:v>
                </c:pt>
                <c:pt idx="16">
                  <c:v>224</c:v>
                </c:pt>
                <c:pt idx="17">
                  <c:v>225</c:v>
                </c:pt>
                <c:pt idx="18">
                  <c:v>225</c:v>
                </c:pt>
                <c:pt idx="19">
                  <c:v>226</c:v>
                </c:pt>
                <c:pt idx="20">
                  <c:v>226</c:v>
                </c:pt>
                <c:pt idx="21">
                  <c:v>229</c:v>
                </c:pt>
                <c:pt idx="22">
                  <c:v>230</c:v>
                </c:pt>
                <c:pt idx="23">
                  <c:v>237</c:v>
                </c:pt>
                <c:pt idx="24">
                  <c:v>240</c:v>
                </c:pt>
                <c:pt idx="25">
                  <c:v>240</c:v>
                </c:pt>
                <c:pt idx="26">
                  <c:v>241</c:v>
                </c:pt>
                <c:pt idx="27">
                  <c:v>242</c:v>
                </c:pt>
                <c:pt idx="28">
                  <c:v>248</c:v>
                </c:pt>
                <c:pt idx="29">
                  <c:v>250</c:v>
                </c:pt>
                <c:pt idx="30">
                  <c:v>250</c:v>
                </c:pt>
                <c:pt idx="31">
                  <c:v>251</c:v>
                </c:pt>
                <c:pt idx="32">
                  <c:v>252</c:v>
                </c:pt>
                <c:pt idx="33">
                  <c:v>252</c:v>
                </c:pt>
                <c:pt idx="34">
                  <c:v>253</c:v>
                </c:pt>
                <c:pt idx="35">
                  <c:v>253</c:v>
                </c:pt>
                <c:pt idx="36">
                  <c:v>254</c:v>
                </c:pt>
                <c:pt idx="37">
                  <c:v>257</c:v>
                </c:pt>
                <c:pt idx="38">
                  <c:v>257</c:v>
                </c:pt>
                <c:pt idx="39">
                  <c:v>259</c:v>
                </c:pt>
                <c:pt idx="40">
                  <c:v>262</c:v>
                </c:pt>
                <c:pt idx="41">
                  <c:v>262</c:v>
                </c:pt>
                <c:pt idx="42">
                  <c:v>265</c:v>
                </c:pt>
                <c:pt idx="43">
                  <c:v>265</c:v>
                </c:pt>
                <c:pt idx="44">
                  <c:v>272</c:v>
                </c:pt>
                <c:pt idx="45">
                  <c:v>274</c:v>
                </c:pt>
                <c:pt idx="46">
                  <c:v>280</c:v>
                </c:pt>
                <c:pt idx="47">
                  <c:v>283</c:v>
                </c:pt>
                <c:pt idx="48">
                  <c:v>283</c:v>
                </c:pt>
                <c:pt idx="49">
                  <c:v>285</c:v>
                </c:pt>
                <c:pt idx="50">
                  <c:v>290</c:v>
                </c:pt>
                <c:pt idx="51">
                  <c:v>290</c:v>
                </c:pt>
                <c:pt idx="52">
                  <c:v>290</c:v>
                </c:pt>
                <c:pt idx="53">
                  <c:v>290</c:v>
                </c:pt>
                <c:pt idx="54">
                  <c:v>292</c:v>
                </c:pt>
                <c:pt idx="55">
                  <c:v>293</c:v>
                </c:pt>
                <c:pt idx="56">
                  <c:v>295</c:v>
                </c:pt>
                <c:pt idx="57">
                  <c:v>295</c:v>
                </c:pt>
                <c:pt idx="58">
                  <c:v>297</c:v>
                </c:pt>
                <c:pt idx="59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08B-415A-B197-0D2070463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86320"/>
        <c:axId val="31284240"/>
      </c:scatterChart>
      <c:catAx>
        <c:axId val="3128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4240"/>
        <c:crosses val="autoZero"/>
        <c:auto val="1"/>
        <c:lblAlgn val="ctr"/>
        <c:lblOffset val="100"/>
        <c:tickMarkSkip val="1"/>
        <c:noMultiLvlLbl val="0"/>
      </c:catAx>
      <c:valAx>
        <c:axId val="3128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6320"/>
        <c:crosses val="autoZero"/>
        <c:crossBetween val="between"/>
      </c:valAx>
    </c:plotArea>
    <c:plotVisOnly val="1"/>
    <c:dispBlanksAs val="gap"/>
    <c:showDLblsOverMax val="0"/>
    <c:extLst/>
  </c:chart>
  <c:spPr>
    <a:ln>
      <a:solidFill>
        <a:srgbClr val="D9D9D9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</xdr:row>
      <xdr:rowOff>168378</xdr:rowOff>
    </xdr:from>
    <xdr:to>
      <xdr:col>6</xdr:col>
      <xdr:colOff>334433</xdr:colOff>
      <xdr:row>11</xdr:row>
      <xdr:rowOff>117475</xdr:rowOff>
    </xdr:to>
    <xdr:pic>
      <xdr:nvPicPr>
        <xdr:cNvPr id="2" name="Picture 1" descr="SP Logo 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7667" y="1533628"/>
          <a:ext cx="2048933" cy="7841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23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33E19B-157C-E29B-6CFD-F49C45243D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8</xdr:row>
      <xdr:rowOff>0</xdr:rowOff>
    </xdr:from>
    <xdr:to>
      <xdr:col>17</xdr:col>
      <xdr:colOff>590549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94604A0-F37C-528B-3AA6-B8131AE9A8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38</xdr:row>
      <xdr:rowOff>0</xdr:rowOff>
    </xdr:from>
    <xdr:to>
      <xdr:col>18</xdr:col>
      <xdr:colOff>0</xdr:colOff>
      <xdr:row>53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0D99D54-477B-DB62-A1BE-F477DE684F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53</xdr:row>
      <xdr:rowOff>0</xdr:rowOff>
    </xdr:from>
    <xdr:to>
      <xdr:col>18</xdr:col>
      <xdr:colOff>0</xdr:colOff>
      <xdr:row>68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E24A974-E9C0-4FFA-8DFE-86FCA466E2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299356</xdr:colOff>
      <xdr:row>8</xdr:row>
      <xdr:rowOff>0</xdr:rowOff>
    </xdr:from>
    <xdr:to>
      <xdr:col>26</xdr:col>
      <xdr:colOff>585106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D9BA804-558B-45C7-940D-13298A000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163285</xdr:colOff>
      <xdr:row>26</xdr:row>
      <xdr:rowOff>0</xdr:rowOff>
    </xdr:from>
    <xdr:to>
      <xdr:col>39</xdr:col>
      <xdr:colOff>0</xdr:colOff>
      <xdr:row>43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45C063D-EE9D-418A-8E90-7680F6BB5B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163286</xdr:colOff>
      <xdr:row>8</xdr:row>
      <xdr:rowOff>0</xdr:rowOff>
    </xdr:from>
    <xdr:to>
      <xdr:col>33</xdr:col>
      <xdr:colOff>0</xdr:colOff>
      <xdr:row>24</xdr:row>
      <xdr:rowOff>149677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254AD54-7A7D-35B9-E206-DACFA4F85A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163285</xdr:colOff>
      <xdr:row>8</xdr:row>
      <xdr:rowOff>0</xdr:rowOff>
    </xdr:from>
    <xdr:to>
      <xdr:col>39</xdr:col>
      <xdr:colOff>0</xdr:colOff>
      <xdr:row>25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15B5C28-DE55-72EE-1666-E7A01180BF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163286</xdr:colOff>
      <xdr:row>26</xdr:row>
      <xdr:rowOff>0</xdr:rowOff>
    </xdr:from>
    <xdr:to>
      <xdr:col>33</xdr:col>
      <xdr:colOff>0</xdr:colOff>
      <xdr:row>43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228A60-F777-45CC-9C6A-197D5FCC34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0</xdr:colOff>
      <xdr:row>26</xdr:row>
      <xdr:rowOff>0</xdr:rowOff>
    </xdr:from>
    <xdr:to>
      <xdr:col>27</xdr:col>
      <xdr:colOff>0</xdr:colOff>
      <xdr:row>43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655EC47-CF34-434A-8AEA-DF23768BDE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0</xdr:colOff>
      <xdr:row>45</xdr:row>
      <xdr:rowOff>-1</xdr:rowOff>
    </xdr:from>
    <xdr:to>
      <xdr:col>27</xdr:col>
      <xdr:colOff>0</xdr:colOff>
      <xdr:row>62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7734982C-8EBA-4301-8B13-903B9899A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73A261-1535-4667-AE25-079F0436A587}" name="Cloud" displayName="Cloud" ref="D9:G69" totalsRowShown="0" headerRowCellStyle="Table_Heading" dataCellStyle="Parameter">
  <tableColumns count="4">
    <tableColumn id="1" xr3:uid="{FF2C8979-26E7-49F0-979D-78B77B541998}" name="Cloud 1" dataCellStyle="Parameter"/>
    <tableColumn id="2" xr3:uid="{76BEA250-90B1-4772-A797-305111C06DA3}" name="Cloud 1: 1st position" dataCellStyle="Parameter">
      <calculatedColumnFormula>COUNTIF(A$12:A12,A12)</calculatedColumnFormula>
    </tableColumn>
    <tableColumn id="3" xr3:uid="{4345BEC4-89C0-405C-8DC8-6A3648116DDE}" name="Cloud 1: X-position" dataCellStyle="Parameter">
      <calculatedColumnFormula>IF(E10=1,J$9,F9+J$10)</calculatedColumnFormula>
    </tableColumn>
    <tableColumn id="4" xr3:uid="{E126ED10-768F-4DCD-99E0-6F8D8D73A5B4}" name="Cloud 1: Distribution" dataCellStyle="Parameter">
      <calculatedColumnFormula>Cloud[[#This Row],[Cloud 1]]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079E3E-34E6-4270-B592-1414EBA147DC}" name="Percentile_Table" displayName="Percentile_Table" ref="I12:J19" totalsRowShown="0" tableBorderDxfId="20" totalsRowBorderDxfId="19" headerRowCellStyle="Table_Heading">
  <tableColumns count="2">
    <tableColumn id="1" xr3:uid="{78A5CB73-6FB8-4F65-A020-B92449168574}" name="Percentile" dataDxfId="18" dataCellStyle="Percent"/>
    <tableColumn id="2" xr3:uid="{966E9B7D-CC60-438F-BCA9-7468272EDEF3}" name="Percentile: Cloud 1" dataCellStyle="Parameter">
      <calculatedColumnFormula>PERCENTILE(Cloud[Cloud 1],$I13)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E8EB9CD-2BFE-4463-A2FF-F27BE8624669}" name="Stacked_Column" displayName="Stacked_Column" ref="I21:J24" totalsRowShown="0" tableBorderDxfId="17" totalsRowBorderDxfId="16" headerRowCellStyle="Table_Heading">
  <tableColumns count="2">
    <tableColumn id="1" xr3:uid="{66FABB21-21D4-48A9-9405-AEA49161851B}" name="Stacked Column" dataDxfId="15"/>
    <tableColumn id="2" xr3:uid="{C158C480-25E8-41CD-AE49-51711D711B3B}" name="Stacked: Cloud 1" dataCellStyle="Parameter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9905B2-7B38-416E-98D2-71C36FC0268E}" name="Clouds" displayName="Clouds" ref="D9:O69" totalsRowShown="0" headerRowCellStyle="Table_Heading">
  <autoFilter ref="D9:O69" xr:uid="{949905B2-7B38-416E-98D2-71C36FC0268E}"/>
  <sortState xmlns:xlrd2="http://schemas.microsoft.com/office/spreadsheetml/2017/richdata2" ref="D10:O69">
    <sortCondition ref="F9:F69"/>
  </sortState>
  <tableColumns count="12">
    <tableColumn id="1" xr3:uid="{EDF26F14-4357-4DEF-9D4C-0613C1E3F63E}" name="Cloud 1" dataCellStyle="Assumption"/>
    <tableColumn id="2" xr3:uid="{6AE40CCC-33C1-4E1C-BA67-88638E25DA43}" name="Cloud 2" dataCellStyle="Assumption"/>
    <tableColumn id="3" xr3:uid="{8F492A65-2345-46D7-B254-2EFCEE21254E}" name="Cloud 3" dataCellStyle="Assumption"/>
    <tableColumn id="4" xr3:uid="{C483C2AD-1EF7-4D5F-8C98-BE44FDD9F7B2}" name="Cloud 1: 1st position" dataCellStyle="Parameter"/>
    <tableColumn id="5" xr3:uid="{A5A2BDA7-117D-4A6E-9BB4-C0E216F310C6}" name="Cloud 2: 1st position" dataCellStyle="Parameter">
      <calculatedColumnFormula>COUNTIF(E$10:E10,E10)</calculatedColumnFormula>
    </tableColumn>
    <tableColumn id="6" xr3:uid="{4CD8B000-C8D9-4350-AB3F-9AAD058A8CFB}" name="Cloud 3: 1st position" dataCellStyle="Parameter">
      <calculatedColumnFormula>COUNTIF(F$10:F10,F10)</calculatedColumnFormula>
    </tableColumn>
    <tableColumn id="7" xr3:uid="{2819E792-F8BB-461B-A4C1-66852DBAFF39}" name="Cloud 1: X-position" dataCellStyle="Parameter">
      <calculatedColumnFormula>IF(G10=1,R$9,J9+R$10)</calculatedColumnFormula>
    </tableColumn>
    <tableColumn id="9" xr3:uid="{0838858A-7E09-4B5C-A41F-F17FA4442A19}" name="Cloud 2: X-position" dataCellStyle="Parameter">
      <calculatedColumnFormula>IF(H10=1,S$9,K9+S$10)</calculatedColumnFormula>
    </tableColumn>
    <tableColumn id="10" xr3:uid="{4C067653-22CB-4BC1-8785-77CD0F759D9E}" name="Cloud 3: X-position" dataCellStyle="Parameter">
      <calculatedColumnFormula>IF(I10=1,T$9,L9+T$10)</calculatedColumnFormula>
    </tableColumn>
    <tableColumn id="8" xr3:uid="{1AF367C2-B1E5-4DD6-BC38-B18C63AB077B}" name="Cloud 1: Distribution" dataCellStyle="Parameter">
      <calculatedColumnFormula>Clouds[[#This Row],[Cloud 1]]</calculatedColumnFormula>
    </tableColumn>
    <tableColumn id="11" xr3:uid="{DF34FA1B-2F73-45AD-99A4-9BD96E0D4E9B}" name="Cloud 2: Distribution" dataCellStyle="Parameter">
      <calculatedColumnFormula>Clouds[[#This Row],[Cloud 2]]</calculatedColumnFormula>
    </tableColumn>
    <tableColumn id="12" xr3:uid="{A6181602-BA52-490B-9DC4-1D395503753D}" name="Cloud 3: Distribution" dataCellStyle="Parameter">
      <calculatedColumnFormula>Clouds[[#This Row],[Cloud 3]]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01A5E56-F738-4BA8-BF64-2834F6E23102}" name="Percentile_Tables" displayName="Percentile_Tables" ref="Q12:T19" totalsRowShown="0" headerRowDxfId="13" headerRowBorderDxfId="12" tableBorderDxfId="11" totalsRowBorderDxfId="10" headerRowCellStyle="Table_Heading">
  <tableColumns count="4">
    <tableColumn id="1" xr3:uid="{A60949BF-86F3-4B63-BFB0-C2371F0736FF}" name="Percentile" dataDxfId="9" dataCellStyle="Percent"/>
    <tableColumn id="2" xr3:uid="{99097A4C-F228-421F-A0F8-26706F972890}" name="Percentile: Cloud 1" dataCellStyle="Parameter">
      <calculatedColumnFormula>PERCENTILE(Clouds[Cloud 1],$Q13)</calculatedColumnFormula>
    </tableColumn>
    <tableColumn id="3" xr3:uid="{D01E2222-CD94-49EB-8393-376F188B3B00}" name="Percentile: Cloud 2" dataCellStyle="Parameter">
      <calculatedColumnFormula>PERCENTILE(Clouds[Cloud 2],$Q13)</calculatedColumnFormula>
    </tableColumn>
    <tableColumn id="4" xr3:uid="{A46B80E6-EF37-4600-94C7-8F5E88487A15}" name="Percentile: Cloud 3" dataCellStyle="Parameter">
      <calculatedColumnFormula>PERCENTILE(Clouds[Cloud 3],$Q13)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A5FADEF-277E-4D36-8C6B-E20C10D70B74}" name="Stacked_Columns" displayName="Stacked_Columns" ref="Q21:T24" totalsRowShown="0" tableBorderDxfId="8" totalsRowBorderDxfId="7" headerRowCellStyle="Table_Heading">
  <tableColumns count="4">
    <tableColumn id="1" xr3:uid="{4655FB84-67DA-4EEE-8245-4776E260E592}" name="Stacked Column" dataDxfId="6"/>
    <tableColumn id="2" xr3:uid="{ACEA00DD-2519-405C-AA17-040FF00FB9A6}" name="Stacked: Cloud 1" dataCellStyle="Parameter"/>
    <tableColumn id="3" xr3:uid="{82B00A43-DB5C-42A4-A0FA-FC46EFABBCAF}" name="Stacked: Cloud 2" dataCellStyle="Parameter">
      <calculatedColumnFormula>S15-S14</calculatedColumnFormula>
    </tableColumn>
    <tableColumn id="4" xr3:uid="{76D8A45F-82B7-4D67-BEC1-B589780165BC}" name="Stacked: Cloud 3" dataCellStyle="Parameter">
      <calculatedColumnFormula>T15-T14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hangeLog" displayName="ChangeLog" ref="F10:K13" totalsRowShown="0" headerRowCellStyle="Table_Heading">
  <autoFilter ref="F10:K13" xr:uid="{00000000-0009-0000-0100-000001000000}"/>
  <tableColumns count="6">
    <tableColumn id="1" xr3:uid="{00000000-0010-0000-0000-000001000000}" name="Date" dataCellStyle="Date"/>
    <tableColumn id="2" xr3:uid="{00000000-0010-0000-0000-000002000000}" name="Model Version "/>
    <tableColumn id="3" xr3:uid="{00000000-0010-0000-0000-000003000000}" name="Details of change"/>
    <tableColumn id="4" xr3:uid="{00000000-0010-0000-0000-000004000000}" name="Worksheet Reference"/>
    <tableColumn id="5" xr3:uid="{00000000-0010-0000-0000-000005000000}" name="Row, column, cell reference" dataDxfId="0"/>
    <tableColumn id="6" xr3:uid="{00000000-0010-0000-0000-000006000000}" name="Auth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sumproduct.com/" TargetMode="External"/><Relationship Id="rId1" Type="http://schemas.openxmlformats.org/officeDocument/2006/relationships/hyperlink" Target="mailto:Sam.Ngo@sumproduct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2"/>
  <sheetViews>
    <sheetView showGridLines="0" zoomScaleNormal="100" workbookViewId="0">
      <selection activeCell="A3" sqref="A3"/>
    </sheetView>
  </sheetViews>
  <sheetFormatPr defaultRowHeight="12" x14ac:dyDescent="0.2"/>
  <cols>
    <col min="3" max="4" width="3.7109375" customWidth="1"/>
  </cols>
  <sheetData>
    <row r="1" spans="1:19" x14ac:dyDescent="0.2">
      <c r="A1" s="11"/>
    </row>
    <row r="3" spans="1:19" x14ac:dyDescent="0.2">
      <c r="A3" s="11" t="s">
        <v>1</v>
      </c>
    </row>
    <row r="5" spans="1:19" ht="20.25" x14ac:dyDescent="0.3">
      <c r="C5" s="43" t="str">
        <f>Client_Name</f>
        <v>SumProduct Pty Limited</v>
      </c>
      <c r="D5" s="7"/>
      <c r="E5" s="7"/>
      <c r="F5" s="7"/>
      <c r="G5" s="7"/>
      <c r="H5" s="7"/>
      <c r="I5" s="7"/>
      <c r="J5" s="7"/>
    </row>
    <row r="6" spans="1:19" ht="18" x14ac:dyDescent="0.25">
      <c r="C6" s="44" t="str">
        <f ca="1">Model_Name</f>
        <v>SP Vertical RainCloud Chart - Complete.xlsm</v>
      </c>
      <c r="D6" s="7"/>
      <c r="E6" s="7"/>
      <c r="F6" s="7"/>
      <c r="G6" s="7"/>
      <c r="H6" s="7"/>
      <c r="I6" s="7"/>
      <c r="J6" s="7"/>
    </row>
    <row r="7" spans="1:19" ht="12.75" x14ac:dyDescent="0.2">
      <c r="C7" s="7"/>
      <c r="D7" s="7"/>
      <c r="E7" s="7"/>
      <c r="F7" s="7"/>
      <c r="G7" s="7"/>
      <c r="H7" s="7"/>
      <c r="I7" s="7"/>
      <c r="J7" s="7"/>
    </row>
    <row r="8" spans="1:19" ht="12.75" x14ac:dyDescent="0.2">
      <c r="C8" s="7"/>
      <c r="D8" s="7"/>
      <c r="E8" s="7"/>
      <c r="F8" s="7"/>
      <c r="G8" s="7"/>
      <c r="H8" s="7"/>
      <c r="I8" s="7"/>
      <c r="J8" s="7"/>
    </row>
    <row r="9" spans="1:19" ht="12.75" x14ac:dyDescent="0.2">
      <c r="C9" s="7"/>
      <c r="D9" s="7"/>
      <c r="E9" s="7"/>
      <c r="F9" s="7"/>
      <c r="G9" s="7"/>
      <c r="H9" s="7"/>
      <c r="I9" s="7"/>
      <c r="J9" s="7"/>
    </row>
    <row r="10" spans="1:19" ht="12.75" x14ac:dyDescent="0.2">
      <c r="C10" s="7"/>
      <c r="D10" s="7"/>
      <c r="E10" s="7"/>
      <c r="F10" s="7"/>
      <c r="G10" s="7"/>
      <c r="H10" s="7"/>
      <c r="I10" s="7"/>
      <c r="J10" s="7"/>
    </row>
    <row r="11" spans="1:19" ht="15" x14ac:dyDescent="0.25">
      <c r="C11" s="7"/>
      <c r="D11" s="7"/>
      <c r="E11" s="7"/>
      <c r="F11" s="7"/>
      <c r="G11" s="7"/>
      <c r="H11" s="7"/>
      <c r="I11" s="7"/>
      <c r="J11" s="7"/>
      <c r="S11" s="40"/>
    </row>
    <row r="12" spans="1:19" ht="12.75" x14ac:dyDescent="0.2">
      <c r="C12" s="7"/>
      <c r="D12" s="7"/>
      <c r="E12" s="7"/>
      <c r="F12" s="7"/>
      <c r="G12" s="7"/>
      <c r="H12" s="7"/>
      <c r="I12" s="7"/>
      <c r="J12" s="7"/>
    </row>
    <row r="13" spans="1:19" ht="12.75" x14ac:dyDescent="0.2">
      <c r="C13" s="7"/>
      <c r="D13" s="7"/>
      <c r="E13" s="7"/>
      <c r="F13" s="7"/>
      <c r="G13" s="7"/>
      <c r="H13" s="7"/>
      <c r="I13" s="7"/>
      <c r="J13" s="7"/>
    </row>
    <row r="14" spans="1:19" ht="12.75" x14ac:dyDescent="0.2">
      <c r="C14" s="8" t="s">
        <v>97</v>
      </c>
      <c r="D14" s="9"/>
      <c r="E14" s="7"/>
      <c r="F14" s="7"/>
      <c r="G14" s="7"/>
      <c r="H14" s="7"/>
      <c r="I14" s="7"/>
      <c r="J14" s="7"/>
    </row>
    <row r="15" spans="1:19" ht="12.75" x14ac:dyDescent="0.2">
      <c r="C15" s="9"/>
      <c r="D15" s="9"/>
      <c r="E15" s="7"/>
      <c r="F15" s="7"/>
      <c r="G15" s="7"/>
      <c r="H15" s="7"/>
      <c r="I15" s="7"/>
      <c r="J15" s="7"/>
    </row>
    <row r="16" spans="1:19" ht="12.75" x14ac:dyDescent="0.2">
      <c r="C16" s="8" t="s">
        <v>19</v>
      </c>
      <c r="D16" s="9"/>
      <c r="E16" s="7"/>
      <c r="F16" s="7"/>
      <c r="G16" s="7"/>
      <c r="H16" s="7"/>
      <c r="I16" s="7"/>
      <c r="J16" s="7"/>
    </row>
    <row r="17" spans="3:10" ht="12.75" x14ac:dyDescent="0.2">
      <c r="C17" s="67" t="s">
        <v>118</v>
      </c>
      <c r="D17" s="67"/>
      <c r="E17" s="67"/>
      <c r="F17" s="67"/>
      <c r="G17" s="67"/>
      <c r="H17" s="67"/>
      <c r="I17" s="67"/>
      <c r="J17" s="67"/>
    </row>
    <row r="18" spans="3:10" ht="12.75" x14ac:dyDescent="0.2">
      <c r="C18" s="67"/>
      <c r="D18" s="67"/>
      <c r="E18" s="67"/>
      <c r="F18" s="67"/>
      <c r="G18" s="67"/>
      <c r="H18" s="67"/>
      <c r="I18" s="67"/>
      <c r="J18" s="67"/>
    </row>
    <row r="19" spans="3:10" ht="12.75" x14ac:dyDescent="0.2">
      <c r="C19" s="10"/>
      <c r="D19" s="9"/>
      <c r="E19" s="7"/>
      <c r="F19" s="7"/>
      <c r="G19" s="7"/>
      <c r="H19" s="7"/>
      <c r="I19" s="7"/>
      <c r="J19" s="7"/>
    </row>
    <row r="20" spans="3:10" ht="12.75" x14ac:dyDescent="0.2">
      <c r="C20" s="10"/>
      <c r="D20" s="9"/>
      <c r="E20" s="7"/>
      <c r="F20" s="7"/>
      <c r="G20" s="7"/>
      <c r="H20" s="7"/>
      <c r="I20" s="7"/>
      <c r="J20" s="7"/>
    </row>
    <row r="21" spans="3:10" ht="12.75" x14ac:dyDescent="0.2">
      <c r="C21" s="10" t="s">
        <v>20</v>
      </c>
      <c r="D21" s="9"/>
      <c r="E21" s="7"/>
      <c r="F21" s="7"/>
      <c r="G21" s="68" t="s">
        <v>98</v>
      </c>
      <c r="H21" s="68"/>
      <c r="I21" s="68"/>
      <c r="J21" s="7"/>
    </row>
    <row r="22" spans="3:10" ht="12.75" x14ac:dyDescent="0.2">
      <c r="C22" s="10" t="s">
        <v>21</v>
      </c>
      <c r="D22" s="9"/>
      <c r="E22" s="7"/>
      <c r="F22" s="7"/>
      <c r="G22" s="68" t="s">
        <v>22</v>
      </c>
      <c r="H22" s="68"/>
      <c r="I22" s="68"/>
      <c r="J22" s="7"/>
    </row>
  </sheetData>
  <mergeCells count="4">
    <mergeCell ref="C17:J17"/>
    <mergeCell ref="C18:J18"/>
    <mergeCell ref="G21:I21"/>
    <mergeCell ref="G22:I22"/>
  </mergeCells>
  <hyperlinks>
    <hyperlink ref="G21" r:id="rId1" xr:uid="{00000000-0004-0000-0000-000000000000}"/>
    <hyperlink ref="G22" r:id="rId2" xr:uid="{00000000-0004-0000-0000-000001000000}"/>
    <hyperlink ref="A3" location="HL_Navigator" display="Navigator" xr:uid="{00000000-0004-0000-0000-000002000000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6"/>
  <sheetViews>
    <sheetView showGridLines="0" zoomScaleNormal="100" workbookViewId="0">
      <pane ySplit="4" topLeftCell="A5" activePane="bottomLeft" state="frozen"/>
      <selection pane="bottomLeft" activeCell="A5" sqref="A5"/>
    </sheetView>
  </sheetViews>
  <sheetFormatPr defaultRowHeight="12" x14ac:dyDescent="0.2"/>
  <cols>
    <col min="1" max="5" width="3.7109375" customWidth="1"/>
    <col min="6" max="6" width="17.7109375" customWidth="1"/>
  </cols>
  <sheetData>
    <row r="1" spans="1:12" ht="20.25" x14ac:dyDescent="0.3">
      <c r="A1" s="43" t="s">
        <v>1</v>
      </c>
      <c r="F1" s="12"/>
      <c r="G1" s="12"/>
    </row>
    <row r="2" spans="1:12" ht="18" x14ac:dyDescent="0.25">
      <c r="A2" s="44" t="str">
        <f ca="1">Model_Name</f>
        <v>SP Vertical RainCloud Chart - Complete.xlsm</v>
      </c>
    </row>
    <row r="3" spans="1:12" x14ac:dyDescent="0.2">
      <c r="A3" s="11" t="s">
        <v>1</v>
      </c>
      <c r="B3" s="11"/>
      <c r="C3" s="11"/>
      <c r="D3" s="11"/>
      <c r="E3" s="11"/>
    </row>
    <row r="4" spans="1:12" ht="14.25" x14ac:dyDescent="0.2">
      <c r="E4" t="s">
        <v>2</v>
      </c>
      <c r="G4" s="24">
        <f>Overall_Error_Check</f>
        <v>0</v>
      </c>
    </row>
    <row r="7" spans="1:12" ht="16.5" thickBot="1" x14ac:dyDescent="0.3">
      <c r="B7" s="45">
        <v>1</v>
      </c>
      <c r="C7" s="45" t="s">
        <v>23</v>
      </c>
      <c r="D7" s="45"/>
      <c r="E7" s="45"/>
      <c r="F7" s="45"/>
      <c r="G7" s="45"/>
      <c r="H7" s="45"/>
      <c r="I7" s="45"/>
      <c r="J7" s="45"/>
      <c r="K7" s="45"/>
      <c r="L7" s="45"/>
    </row>
    <row r="8" spans="1:12" ht="12.75" thickTop="1" x14ac:dyDescent="0.2"/>
    <row r="9" spans="1:12" x14ac:dyDescent="0.2">
      <c r="F9" s="11" t="s">
        <v>24</v>
      </c>
    </row>
    <row r="10" spans="1:12" x14ac:dyDescent="0.2">
      <c r="F10" s="11" t="s">
        <v>25</v>
      </c>
    </row>
    <row r="11" spans="1:12" x14ac:dyDescent="0.2">
      <c r="F11" s="11" t="s">
        <v>0</v>
      </c>
    </row>
    <row r="12" spans="1:12" x14ac:dyDescent="0.2">
      <c r="F12" s="11" t="s">
        <v>69</v>
      </c>
    </row>
    <row r="13" spans="1:12" x14ac:dyDescent="0.2">
      <c r="F13" s="11" t="s">
        <v>117</v>
      </c>
    </row>
    <row r="14" spans="1:12" x14ac:dyDescent="0.2">
      <c r="F14" s="11" t="s">
        <v>131</v>
      </c>
    </row>
    <row r="15" spans="1:12" x14ac:dyDescent="0.2">
      <c r="F15" s="11" t="s">
        <v>64</v>
      </c>
    </row>
    <row r="16" spans="1:12" x14ac:dyDescent="0.2">
      <c r="F16" s="11" t="s">
        <v>80</v>
      </c>
    </row>
  </sheetData>
  <conditionalFormatting sqref="G4">
    <cfRule type="cellIs" dxfId="25" priority="1" operator="equal">
      <formula>1</formula>
    </cfRule>
  </conditionalFormatting>
  <hyperlinks>
    <hyperlink ref="A3:E3" location="HL_Navigator" tooltip="Go to Navigator (Table of Contents)" display="Navigator" xr:uid="{00000000-0004-0000-0100-000000000000}"/>
    <hyperlink ref="F9" location="HL_1" display="Cover" xr:uid="{CED14961-89F3-45CC-885F-E3F6D99CCAA8}"/>
    <hyperlink ref="F10" location="HL_3" display="Style Guide" xr:uid="{5C734C79-58A6-4184-ADC4-04E6DB85C01D}"/>
    <hyperlink ref="F11" location="HL_4" display="Model Parameters" xr:uid="{D53929C9-32DF-4B37-BDCE-8C9B2C81A10D}"/>
    <hyperlink ref="F12" location="HL_5" display="Timing" xr:uid="{C61FC161-6953-43D7-B680-D21D89B79E53}"/>
    <hyperlink ref="F13" location="HL_6" display="Vertical Raincloud - 1 Cloud" xr:uid="{8E59EFE9-E611-4E0A-AB06-A8815B8A3F9A}"/>
    <hyperlink ref="F14" location="HL_7" display="Vertical Raincloud - 3 Clouds" xr:uid="{9E08AA4A-DD8E-42CD-8CB4-7533228BAEC7}"/>
    <hyperlink ref="F15" location="HL_8" display="Error Checks" xr:uid="{E28897C5-09D8-4DCF-A942-E197062B1570}"/>
    <hyperlink ref="F16" location="HL_9" display="Change Log" xr:uid="{65BE3A2D-A820-4DE2-8560-A026E43D26AB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/>
  </sheetPr>
  <dimension ref="A1:O81"/>
  <sheetViews>
    <sheetView showGridLines="0" zoomScaleNormal="100" workbookViewId="0">
      <pane ySplit="4" topLeftCell="A5" activePane="bottomLeft" state="frozen"/>
      <selection pane="bottomLeft" activeCell="A3" sqref="A3:E3"/>
    </sheetView>
  </sheetViews>
  <sheetFormatPr defaultColWidth="0" defaultRowHeight="12" outlineLevelRow="1" x14ac:dyDescent="0.2"/>
  <cols>
    <col min="1" max="5" width="3.7109375" customWidth="1"/>
    <col min="6" max="7" width="9.140625" customWidth="1"/>
    <col min="8" max="8" width="1.7109375" customWidth="1"/>
    <col min="9" max="9" width="17.28515625" bestFit="1" customWidth="1"/>
    <col min="10" max="10" width="1.7109375" customWidth="1"/>
    <col min="11" max="11" width="23.42578125" customWidth="1"/>
    <col min="12" max="13" width="9.140625" customWidth="1"/>
    <col min="14" max="14" width="1.7109375" customWidth="1"/>
    <col min="15" max="15" width="0" hidden="1" customWidth="1"/>
    <col min="16" max="16384" width="9.140625" hidden="1"/>
  </cols>
  <sheetData>
    <row r="1" spans="1:13" ht="20.25" x14ac:dyDescent="0.3">
      <c r="A1" s="43" t="str">
        <f ca="1">IF(ISERROR(RIGHT(CELL("filename",A1),LEN(CELL("filename",A1))-FIND("]",CELL("filename",A1)))),
"",
RIGHT(CELL("filename",A1),LEN(CELL("filename",A1))-FIND("]",CELL("filename",A1))))</f>
        <v>Style Guide</v>
      </c>
      <c r="K1" s="11"/>
    </row>
    <row r="2" spans="1:13" ht="18" x14ac:dyDescent="0.25">
      <c r="A2" s="44" t="str">
        <f ca="1">Model_Name</f>
        <v>SP Vertical RainCloud Chart - Complete.xlsm</v>
      </c>
    </row>
    <row r="3" spans="1:13" x14ac:dyDescent="0.2">
      <c r="A3" s="68" t="s">
        <v>1</v>
      </c>
      <c r="B3" s="68"/>
      <c r="C3" s="68"/>
      <c r="D3" s="68"/>
      <c r="E3" s="68"/>
    </row>
    <row r="4" spans="1:13" ht="14.25" x14ac:dyDescent="0.2">
      <c r="E4" t="s">
        <v>2</v>
      </c>
      <c r="I4" s="1">
        <f>Overall_Error_Check</f>
        <v>0</v>
      </c>
    </row>
    <row r="5" spans="1:13" x14ac:dyDescent="0.2">
      <c r="A5" s="11"/>
    </row>
    <row r="6" spans="1:13" ht="16.5" thickBot="1" x14ac:dyDescent="0.3">
      <c r="B6" s="45">
        <f>MAX($B$5:$B5)+1</f>
        <v>1</v>
      </c>
      <c r="C6" s="2" t="s">
        <v>26</v>
      </c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ht="12.75" outlineLevel="1" thickTop="1" x14ac:dyDescent="0.2"/>
    <row r="8" spans="1:13" outlineLevel="1" x14ac:dyDescent="0.2">
      <c r="C8" s="70" t="s">
        <v>27</v>
      </c>
      <c r="D8" s="70"/>
      <c r="E8" s="70"/>
      <c r="F8" s="70"/>
      <c r="G8" s="70"/>
      <c r="H8" s="13"/>
      <c r="I8" s="13" t="s">
        <v>28</v>
      </c>
      <c r="J8" s="13"/>
      <c r="K8" s="13" t="s">
        <v>29</v>
      </c>
    </row>
    <row r="9" spans="1:13" outlineLevel="1" x14ac:dyDescent="0.2">
      <c r="C9" s="69"/>
      <c r="D9" s="69"/>
      <c r="E9" s="69"/>
      <c r="F9" s="69"/>
      <c r="G9" s="69"/>
      <c r="K9" s="17"/>
    </row>
    <row r="10" spans="1:13" ht="20.25" outlineLevel="1" x14ac:dyDescent="0.3">
      <c r="C10" s="69" t="s">
        <v>30</v>
      </c>
      <c r="D10" s="69"/>
      <c r="E10" s="69"/>
      <c r="F10" s="69"/>
      <c r="G10" s="69"/>
      <c r="I10" s="14" t="str">
        <f>C10</f>
        <v>Sheet Title</v>
      </c>
      <c r="K10" s="15" t="s">
        <v>30</v>
      </c>
    </row>
    <row r="11" spans="1:13" ht="18" outlineLevel="1" x14ac:dyDescent="0.25">
      <c r="C11" s="69" t="s">
        <v>5</v>
      </c>
      <c r="D11" s="69"/>
      <c r="E11" s="69"/>
      <c r="F11" s="69"/>
      <c r="G11" s="69"/>
      <c r="I11" s="16" t="str">
        <f>C11</f>
        <v>Model Name</v>
      </c>
      <c r="K11" s="15" t="s">
        <v>5</v>
      </c>
    </row>
    <row r="12" spans="1:13" outlineLevel="1" x14ac:dyDescent="0.2">
      <c r="C12" s="69"/>
      <c r="D12" s="69"/>
      <c r="E12" s="69"/>
      <c r="F12" s="69"/>
      <c r="G12" s="69"/>
      <c r="K12" s="17"/>
    </row>
    <row r="13" spans="1:13" ht="16.5" outlineLevel="1" thickBot="1" x14ac:dyDescent="0.3">
      <c r="C13" s="69" t="s">
        <v>31</v>
      </c>
      <c r="D13" s="69"/>
      <c r="E13" s="69"/>
      <c r="F13" s="69"/>
      <c r="G13" s="69"/>
      <c r="I13" s="42" t="str">
        <f>C13</f>
        <v>Header 1</v>
      </c>
      <c r="K13" s="15" t="s">
        <v>31</v>
      </c>
    </row>
    <row r="14" spans="1:13" ht="17.25" outlineLevel="1" thickTop="1" x14ac:dyDescent="0.25">
      <c r="C14" s="69" t="s">
        <v>32</v>
      </c>
      <c r="D14" s="69"/>
      <c r="E14" s="69"/>
      <c r="F14" s="69"/>
      <c r="G14" s="69"/>
      <c r="I14" s="3" t="str">
        <f>C14</f>
        <v>Header 2</v>
      </c>
      <c r="K14" s="15" t="s">
        <v>32</v>
      </c>
    </row>
    <row r="15" spans="1:13" ht="15" outlineLevel="1" x14ac:dyDescent="0.25">
      <c r="C15" s="69" t="s">
        <v>33</v>
      </c>
      <c r="D15" s="69"/>
      <c r="E15" s="69"/>
      <c r="F15" s="69"/>
      <c r="G15" s="69"/>
      <c r="I15" s="4" t="str">
        <f>C15</f>
        <v>Header 3</v>
      </c>
      <c r="K15" s="15" t="s">
        <v>33</v>
      </c>
    </row>
    <row r="16" spans="1:13" ht="15" outlineLevel="1" x14ac:dyDescent="0.25">
      <c r="C16" s="69" t="s">
        <v>34</v>
      </c>
      <c r="D16" s="69"/>
      <c r="E16" s="69"/>
      <c r="F16" s="69"/>
      <c r="G16" s="69"/>
      <c r="I16" s="18" t="str">
        <f>C16</f>
        <v>Header 4</v>
      </c>
      <c r="K16" s="15" t="s">
        <v>34</v>
      </c>
    </row>
    <row r="17" spans="2:14" outlineLevel="1" x14ac:dyDescent="0.2">
      <c r="C17" s="69"/>
      <c r="D17" s="69"/>
      <c r="E17" s="69"/>
      <c r="F17" s="69"/>
      <c r="G17" s="69"/>
      <c r="K17" s="17"/>
    </row>
    <row r="18" spans="2:14" ht="15" outlineLevel="1" x14ac:dyDescent="0.25">
      <c r="C18" s="69" t="s">
        <v>35</v>
      </c>
      <c r="D18" s="69"/>
      <c r="E18" s="69"/>
      <c r="F18" s="69"/>
      <c r="G18" s="69"/>
      <c r="I18" s="19" t="str">
        <f>C18</f>
        <v>Notes</v>
      </c>
      <c r="K18" s="15" t="s">
        <v>35</v>
      </c>
    </row>
    <row r="19" spans="2:14" outlineLevel="1" x14ac:dyDescent="0.2">
      <c r="C19" s="69"/>
      <c r="D19" s="69"/>
      <c r="E19" s="69"/>
      <c r="F19" s="69"/>
      <c r="G19" s="69"/>
      <c r="K19" s="17"/>
      <c r="N19" s="19"/>
    </row>
    <row r="20" spans="2:14" ht="15" outlineLevel="1" x14ac:dyDescent="0.25">
      <c r="C20" s="69" t="s">
        <v>36</v>
      </c>
      <c r="D20" s="69"/>
      <c r="E20" s="69"/>
      <c r="F20" s="69"/>
      <c r="G20" s="69"/>
      <c r="I20" s="13" t="str">
        <f>C20</f>
        <v>Table Heading</v>
      </c>
      <c r="K20" s="15" t="s">
        <v>36</v>
      </c>
    </row>
    <row r="21" spans="2:14" outlineLevel="1" x14ac:dyDescent="0.2"/>
    <row r="22" spans="2:14" outlineLevel="1" x14ac:dyDescent="0.2"/>
    <row r="23" spans="2:14" ht="16.5" thickBot="1" x14ac:dyDescent="0.3">
      <c r="B23" s="45">
        <f>MAX($B$5:$B22)+1</f>
        <v>2</v>
      </c>
      <c r="C23" s="2" t="s">
        <v>37</v>
      </c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2:14" ht="12.75" outlineLevel="1" thickTop="1" x14ac:dyDescent="0.2"/>
    <row r="25" spans="2:14" outlineLevel="1" x14ac:dyDescent="0.2">
      <c r="C25" s="70" t="s">
        <v>27</v>
      </c>
      <c r="D25" s="70"/>
      <c r="E25" s="70"/>
      <c r="F25" s="70"/>
      <c r="G25" s="70"/>
      <c r="H25" s="13"/>
      <c r="I25" s="13" t="s">
        <v>28</v>
      </c>
      <c r="J25" s="13"/>
      <c r="K25" s="13" t="s">
        <v>29</v>
      </c>
    </row>
    <row r="26" spans="2:14" ht="15" outlineLevel="1" x14ac:dyDescent="0.25">
      <c r="C26" s="69"/>
      <c r="D26" s="69"/>
      <c r="E26" s="69"/>
      <c r="F26" s="69"/>
      <c r="G26" s="69"/>
      <c r="K26" s="15"/>
    </row>
    <row r="27" spans="2:14" ht="15" outlineLevel="1" x14ac:dyDescent="0.25">
      <c r="C27" s="69" t="s">
        <v>38</v>
      </c>
      <c r="D27" s="69"/>
      <c r="E27" s="69"/>
      <c r="F27" s="69"/>
      <c r="G27" s="69"/>
      <c r="I27" s="20" t="s">
        <v>38</v>
      </c>
      <c r="K27" s="21" t="str">
        <f>C27</f>
        <v>Assumption</v>
      </c>
    </row>
    <row r="28" spans="2:14" ht="15" outlineLevel="1" x14ac:dyDescent="0.25">
      <c r="C28" s="69"/>
      <c r="D28" s="69"/>
      <c r="E28" s="69"/>
      <c r="F28" s="69"/>
      <c r="G28" s="69"/>
      <c r="K28" s="21"/>
    </row>
    <row r="29" spans="2:14" ht="15" outlineLevel="1" x14ac:dyDescent="0.25">
      <c r="C29" s="69" t="s">
        <v>39</v>
      </c>
      <c r="D29" s="69"/>
      <c r="E29" s="69"/>
      <c r="F29" s="69"/>
      <c r="G29" s="69"/>
      <c r="I29" s="22" t="str">
        <f>C29</f>
        <v>Constraint</v>
      </c>
      <c r="K29" s="21" t="str">
        <f>C29</f>
        <v>Constraint</v>
      </c>
    </row>
    <row r="30" spans="2:14" ht="15" outlineLevel="1" x14ac:dyDescent="0.25">
      <c r="C30" s="69"/>
      <c r="D30" s="69"/>
      <c r="E30" s="69"/>
      <c r="F30" s="69"/>
      <c r="G30" s="69"/>
      <c r="K30" s="21"/>
    </row>
    <row r="31" spans="2:14" ht="15" outlineLevel="1" x14ac:dyDescent="0.25">
      <c r="C31" s="69" t="s">
        <v>40</v>
      </c>
      <c r="D31" s="69"/>
      <c r="E31" s="69"/>
      <c r="F31" s="69"/>
      <c r="G31" s="69"/>
      <c r="I31" s="23"/>
      <c r="K31" s="21" t="str">
        <f>C31</f>
        <v>Empty</v>
      </c>
    </row>
    <row r="32" spans="2:14" ht="15" outlineLevel="1" x14ac:dyDescent="0.25">
      <c r="C32" s="69"/>
      <c r="D32" s="69"/>
      <c r="E32" s="69"/>
      <c r="F32" s="69"/>
      <c r="G32" s="69"/>
      <c r="K32" s="21"/>
    </row>
    <row r="33" spans="3:11" ht="15" outlineLevel="1" x14ac:dyDescent="0.25">
      <c r="C33" t="s">
        <v>41</v>
      </c>
      <c r="I33" s="24">
        <v>0</v>
      </c>
      <c r="K33" s="21" t="str">
        <f>C33</f>
        <v>Error Check</v>
      </c>
    </row>
    <row r="34" spans="3:11" ht="15" outlineLevel="1" x14ac:dyDescent="0.25">
      <c r="K34" s="21"/>
    </row>
    <row r="35" spans="3:11" ht="15" outlineLevel="1" x14ac:dyDescent="0.25">
      <c r="C35" s="69" t="s">
        <v>42</v>
      </c>
      <c r="D35" s="69"/>
      <c r="E35" s="69"/>
      <c r="F35" s="69"/>
      <c r="G35" s="69"/>
      <c r="I35" s="11" t="s">
        <v>42</v>
      </c>
      <c r="K35" s="21" t="str">
        <f>C35</f>
        <v>Hyperlink</v>
      </c>
    </row>
    <row r="36" spans="3:11" ht="15" outlineLevel="1" x14ac:dyDescent="0.25">
      <c r="C36" s="69"/>
      <c r="D36" s="69"/>
      <c r="E36" s="69"/>
      <c r="F36" s="69"/>
      <c r="G36" s="69"/>
      <c r="K36" s="21"/>
    </row>
    <row r="37" spans="3:11" ht="15" outlineLevel="1" x14ac:dyDescent="0.25">
      <c r="C37" s="69" t="s">
        <v>43</v>
      </c>
      <c r="D37" s="69"/>
      <c r="E37" s="69"/>
      <c r="F37" s="69"/>
      <c r="G37" s="69"/>
      <c r="I37" s="25" t="str">
        <f>'Error Checks'!E12</f>
        <v>Example</v>
      </c>
      <c r="K37" s="21" t="str">
        <f>C37</f>
        <v>Internal Reference</v>
      </c>
    </row>
    <row r="38" spans="3:11" ht="15" outlineLevel="1" x14ac:dyDescent="0.25">
      <c r="C38" s="69"/>
      <c r="D38" s="69"/>
      <c r="E38" s="69"/>
      <c r="F38" s="69"/>
      <c r="G38" s="69"/>
      <c r="K38" s="21"/>
    </row>
    <row r="39" spans="3:11" ht="15" outlineLevel="1" x14ac:dyDescent="0.25">
      <c r="C39" s="69" t="s">
        <v>44</v>
      </c>
      <c r="D39" s="69"/>
      <c r="E39" s="69"/>
      <c r="F39" s="69"/>
      <c r="G39" s="69"/>
      <c r="I39" s="26">
        <v>77</v>
      </c>
      <c r="K39" s="21" t="s">
        <v>45</v>
      </c>
    </row>
    <row r="40" spans="3:11" ht="15" outlineLevel="1" x14ac:dyDescent="0.25">
      <c r="C40" s="69"/>
      <c r="D40" s="69"/>
      <c r="E40" s="69"/>
      <c r="F40" s="69"/>
      <c r="G40" s="69"/>
      <c r="K40" s="21"/>
    </row>
    <row r="41" spans="3:11" ht="15" outlineLevel="1" x14ac:dyDescent="0.25">
      <c r="C41" s="69" t="s">
        <v>46</v>
      </c>
      <c r="D41" s="69"/>
      <c r="E41" s="69"/>
      <c r="F41" s="69"/>
      <c r="G41" s="69"/>
      <c r="I41" s="27">
        <f>I39</f>
        <v>77</v>
      </c>
      <c r="K41" s="21" t="str">
        <f>C41</f>
        <v>Line Total</v>
      </c>
    </row>
    <row r="42" spans="3:11" ht="15" outlineLevel="1" x14ac:dyDescent="0.25">
      <c r="C42" s="69"/>
      <c r="D42" s="69"/>
      <c r="E42" s="69"/>
      <c r="F42" s="69"/>
      <c r="G42" s="69"/>
      <c r="K42" s="21"/>
    </row>
    <row r="43" spans="3:11" ht="15" outlineLevel="1" x14ac:dyDescent="0.25">
      <c r="C43" s="69" t="s">
        <v>47</v>
      </c>
      <c r="D43" s="69"/>
      <c r="E43" s="69"/>
      <c r="F43" s="69"/>
      <c r="G43" s="69"/>
      <c r="I43" s="28">
        <v>365</v>
      </c>
      <c r="K43" s="21" t="str">
        <f>C43</f>
        <v>Parameter</v>
      </c>
    </row>
    <row r="44" spans="3:11" ht="15" outlineLevel="1" x14ac:dyDescent="0.25">
      <c r="C44" s="69"/>
      <c r="D44" s="69"/>
      <c r="E44" s="69"/>
      <c r="F44" s="69"/>
      <c r="G44" s="69"/>
      <c r="K44" s="21"/>
    </row>
    <row r="45" spans="3:11" ht="15" outlineLevel="1" x14ac:dyDescent="0.25">
      <c r="C45" s="69" t="s">
        <v>48</v>
      </c>
      <c r="D45" s="69"/>
      <c r="E45" s="69"/>
      <c r="F45" s="69"/>
      <c r="G45" s="69"/>
      <c r="I45" s="29" t="s">
        <v>49</v>
      </c>
      <c r="K45" s="21" t="str">
        <f>C45</f>
        <v>Range Name Description</v>
      </c>
    </row>
    <row r="46" spans="3:11" ht="15" outlineLevel="1" x14ac:dyDescent="0.25">
      <c r="C46" s="69"/>
      <c r="D46" s="69"/>
      <c r="E46" s="69"/>
      <c r="F46" s="69"/>
      <c r="G46" s="69"/>
      <c r="K46" s="21"/>
    </row>
    <row r="47" spans="3:11" ht="15" outlineLevel="1" x14ac:dyDescent="0.25">
      <c r="C47" s="69" t="s">
        <v>50</v>
      </c>
      <c r="D47" s="69"/>
      <c r="E47" s="69"/>
      <c r="F47" s="69"/>
      <c r="G47" s="69"/>
      <c r="I47" s="30">
        <f>ROW(C47)</f>
        <v>47</v>
      </c>
      <c r="K47" s="21" t="s">
        <v>51</v>
      </c>
    </row>
    <row r="48" spans="3:11" ht="15" outlineLevel="1" x14ac:dyDescent="0.25">
      <c r="C48" s="69"/>
      <c r="D48" s="69"/>
      <c r="E48" s="69"/>
      <c r="F48" s="69"/>
      <c r="G48" s="69"/>
      <c r="K48" s="21"/>
    </row>
    <row r="49" spans="2:13" ht="15" outlineLevel="1" x14ac:dyDescent="0.25">
      <c r="C49" s="69" t="s">
        <v>52</v>
      </c>
      <c r="D49" s="69"/>
      <c r="E49" s="69"/>
      <c r="F49" s="69"/>
      <c r="G49" s="69"/>
      <c r="I49" s="31">
        <f>I41</f>
        <v>77</v>
      </c>
      <c r="K49" s="21" t="str">
        <f>C49</f>
        <v>Row Summary</v>
      </c>
    </row>
    <row r="50" spans="2:13" ht="15" outlineLevel="1" x14ac:dyDescent="0.25">
      <c r="C50" s="69"/>
      <c r="D50" s="69"/>
      <c r="E50" s="69"/>
      <c r="F50" s="69"/>
      <c r="G50" s="69"/>
      <c r="K50" s="21"/>
    </row>
    <row r="51" spans="2:13" ht="15" outlineLevel="1" x14ac:dyDescent="0.25">
      <c r="C51" s="69" t="s">
        <v>53</v>
      </c>
      <c r="D51" s="69"/>
      <c r="E51" s="69"/>
      <c r="F51" s="69"/>
      <c r="G51" s="69"/>
      <c r="I51" s="32" t="s">
        <v>68</v>
      </c>
      <c r="K51" s="21" t="str">
        <f>C51</f>
        <v>Units</v>
      </c>
    </row>
    <row r="52" spans="2:13" ht="15" outlineLevel="1" x14ac:dyDescent="0.25">
      <c r="C52" s="69"/>
      <c r="D52" s="69"/>
      <c r="E52" s="69"/>
      <c r="F52" s="69"/>
      <c r="G52" s="69"/>
      <c r="K52" s="21"/>
    </row>
    <row r="53" spans="2:13" ht="15" outlineLevel="1" x14ac:dyDescent="0.25">
      <c r="C53" s="69" t="s">
        <v>54</v>
      </c>
      <c r="D53" s="69"/>
      <c r="E53" s="69"/>
      <c r="F53" s="69"/>
      <c r="G53" s="69"/>
      <c r="I53" s="33"/>
      <c r="K53" s="21" t="str">
        <f>C53</f>
        <v>WIP</v>
      </c>
    </row>
    <row r="54" spans="2:13" ht="15" outlineLevel="1" x14ac:dyDescent="0.25">
      <c r="C54" s="69"/>
      <c r="D54" s="69"/>
      <c r="E54" s="69"/>
      <c r="F54" s="69"/>
      <c r="G54" s="69"/>
      <c r="K54" s="21"/>
    </row>
    <row r="55" spans="2:13" outlineLevel="1" x14ac:dyDescent="0.2">
      <c r="C55" s="69"/>
      <c r="D55" s="69"/>
      <c r="E55" s="69"/>
      <c r="F55" s="69"/>
      <c r="G55" s="69"/>
    </row>
    <row r="56" spans="2:13" ht="16.5" thickBot="1" x14ac:dyDescent="0.3">
      <c r="B56" s="45">
        <f>MAX($B$5:$B55)+1</f>
        <v>3</v>
      </c>
      <c r="C56" s="2" t="s">
        <v>55</v>
      </c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2:13" ht="12.75" outlineLevel="1" thickTop="1" x14ac:dyDescent="0.2"/>
    <row r="58" spans="2:13" outlineLevel="1" x14ac:dyDescent="0.2">
      <c r="C58" s="70" t="s">
        <v>27</v>
      </c>
      <c r="D58" s="70"/>
      <c r="E58" s="70"/>
      <c r="F58" s="70"/>
      <c r="G58" s="70"/>
      <c r="H58" s="13"/>
      <c r="I58" s="13" t="s">
        <v>28</v>
      </c>
      <c r="J58" s="13"/>
      <c r="K58" s="13" t="s">
        <v>29</v>
      </c>
    </row>
    <row r="59" spans="2:13" outlineLevel="1" x14ac:dyDescent="0.2"/>
    <row r="60" spans="2:13" ht="15" outlineLevel="1" x14ac:dyDescent="0.25">
      <c r="C60" s="69" t="s">
        <v>56</v>
      </c>
      <c r="D60" s="69"/>
      <c r="E60" s="69"/>
      <c r="F60" s="69"/>
      <c r="G60" s="69"/>
      <c r="I60" s="47">
        <v>123456.789</v>
      </c>
      <c r="K60" s="21" t="str">
        <f t="shared" ref="K60:K66" si="0">C60</f>
        <v>Comma</v>
      </c>
    </row>
    <row r="61" spans="2:13" ht="15" outlineLevel="1" x14ac:dyDescent="0.25">
      <c r="C61" s="69"/>
      <c r="D61" s="69"/>
      <c r="E61" s="69"/>
      <c r="F61" s="69"/>
      <c r="G61" s="69"/>
      <c r="K61" s="21"/>
    </row>
    <row r="62" spans="2:13" ht="15" outlineLevel="1" x14ac:dyDescent="0.25">
      <c r="C62" s="69" t="s">
        <v>57</v>
      </c>
      <c r="D62" s="69"/>
      <c r="E62" s="69"/>
      <c r="F62" s="69"/>
      <c r="G62" s="69"/>
      <c r="I62" s="34">
        <v>-123456.789</v>
      </c>
      <c r="K62" s="21" t="str">
        <f t="shared" si="0"/>
        <v>Comma [0]</v>
      </c>
    </row>
    <row r="63" spans="2:13" ht="15" outlineLevel="1" x14ac:dyDescent="0.25">
      <c r="C63" s="69"/>
      <c r="D63" s="69"/>
      <c r="E63" s="69"/>
      <c r="F63" s="69"/>
      <c r="G63" s="69"/>
      <c r="K63" s="21"/>
    </row>
    <row r="64" spans="2:13" ht="15" outlineLevel="1" x14ac:dyDescent="0.25">
      <c r="C64" s="69" t="s">
        <v>58</v>
      </c>
      <c r="D64" s="69"/>
      <c r="E64" s="69"/>
      <c r="F64" s="69"/>
      <c r="G64" s="69"/>
      <c r="I64" s="48">
        <v>123456.789</v>
      </c>
      <c r="K64" s="21" t="str">
        <f t="shared" si="0"/>
        <v>Currency</v>
      </c>
    </row>
    <row r="65" spans="3:11" ht="15" outlineLevel="1" x14ac:dyDescent="0.25">
      <c r="C65" s="69"/>
      <c r="D65" s="69"/>
      <c r="E65" s="69"/>
      <c r="F65" s="69"/>
      <c r="G65" s="69"/>
      <c r="K65" s="21"/>
    </row>
    <row r="66" spans="3:11" ht="15" outlineLevel="1" x14ac:dyDescent="0.25">
      <c r="C66" s="69" t="s">
        <v>59</v>
      </c>
      <c r="D66" s="69"/>
      <c r="E66" s="69"/>
      <c r="F66" s="69"/>
      <c r="G66" s="69"/>
      <c r="I66" s="49">
        <v>123456.789</v>
      </c>
      <c r="K66" s="21" t="str">
        <f t="shared" si="0"/>
        <v>Currency [0]</v>
      </c>
    </row>
    <row r="67" spans="3:11" ht="15" outlineLevel="1" x14ac:dyDescent="0.25">
      <c r="C67" s="69"/>
      <c r="D67" s="69"/>
      <c r="E67" s="69"/>
      <c r="F67" s="69"/>
      <c r="G67" s="69"/>
      <c r="K67" s="21"/>
    </row>
    <row r="68" spans="3:11" ht="15" outlineLevel="1" x14ac:dyDescent="0.25">
      <c r="C68" s="69" t="s">
        <v>60</v>
      </c>
      <c r="D68" s="69"/>
      <c r="E68" s="69"/>
      <c r="F68" s="69"/>
      <c r="G68" s="69"/>
      <c r="I68" s="50">
        <f ca="1">TODAY()</f>
        <v>45300</v>
      </c>
      <c r="K68" s="21" t="str">
        <f>C68</f>
        <v>Date</v>
      </c>
    </row>
    <row r="69" spans="3:11" ht="15" outlineLevel="1" x14ac:dyDescent="0.25">
      <c r="C69" s="69"/>
      <c r="D69" s="69"/>
      <c r="E69" s="69"/>
      <c r="F69" s="69"/>
      <c r="G69" s="69"/>
      <c r="K69" s="21"/>
    </row>
    <row r="70" spans="3:11" ht="15" outlineLevel="1" x14ac:dyDescent="0.25">
      <c r="C70" s="69" t="s">
        <v>61</v>
      </c>
      <c r="D70" s="69"/>
      <c r="E70" s="69"/>
      <c r="F70" s="69"/>
      <c r="G70" s="69"/>
      <c r="I70" s="51">
        <f ca="1">TODAY()</f>
        <v>45300</v>
      </c>
      <c r="K70" s="21" t="str">
        <f>C70</f>
        <v>Date Heading</v>
      </c>
    </row>
    <row r="71" spans="3:11" ht="15" outlineLevel="1" x14ac:dyDescent="0.25">
      <c r="C71" s="69"/>
      <c r="D71" s="69"/>
      <c r="E71" s="69"/>
      <c r="F71" s="69"/>
      <c r="G71" s="69"/>
      <c r="K71" s="21"/>
    </row>
    <row r="72" spans="3:11" ht="15" outlineLevel="1" x14ac:dyDescent="0.25">
      <c r="C72" s="69" t="s">
        <v>62</v>
      </c>
      <c r="D72" s="69"/>
      <c r="E72" s="69"/>
      <c r="F72" s="69"/>
      <c r="G72" s="69"/>
      <c r="I72" s="35">
        <v>-123456.789</v>
      </c>
      <c r="K72" s="21" t="str">
        <f>C72</f>
        <v>Numbers 0</v>
      </c>
    </row>
    <row r="73" spans="3:11" ht="15" outlineLevel="1" x14ac:dyDescent="0.25">
      <c r="C73" s="69"/>
      <c r="D73" s="69"/>
      <c r="E73" s="69"/>
      <c r="F73" s="69"/>
      <c r="G73" s="69"/>
      <c r="K73" s="21"/>
    </row>
    <row r="74" spans="3:11" ht="15" outlineLevel="1" x14ac:dyDescent="0.25">
      <c r="C74" s="69" t="s">
        <v>63</v>
      </c>
      <c r="D74" s="69"/>
      <c r="E74" s="69"/>
      <c r="F74" s="69"/>
      <c r="G74" s="69"/>
      <c r="I74" s="36">
        <v>0.5</v>
      </c>
      <c r="K74" s="21" t="str">
        <f>C74</f>
        <v>Percent</v>
      </c>
    </row>
    <row r="75" spans="3:11" outlineLevel="1" x14ac:dyDescent="0.2">
      <c r="C75" s="69"/>
      <c r="D75" s="69"/>
      <c r="E75" s="69"/>
      <c r="F75" s="69"/>
      <c r="G75" s="69"/>
    </row>
    <row r="76" spans="3:11" outlineLevel="1" x14ac:dyDescent="0.2">
      <c r="C76" s="69"/>
      <c r="D76" s="69"/>
      <c r="E76" s="69"/>
      <c r="F76" s="69"/>
      <c r="G76" s="69"/>
    </row>
    <row r="77" spans="3:11" x14ac:dyDescent="0.2">
      <c r="C77" s="69"/>
      <c r="D77" s="69"/>
      <c r="E77" s="69"/>
      <c r="F77" s="69"/>
      <c r="G77" s="69"/>
    </row>
    <row r="78" spans="3:11" x14ac:dyDescent="0.2">
      <c r="C78" s="69"/>
      <c r="D78" s="69"/>
      <c r="E78" s="69"/>
      <c r="F78" s="69"/>
      <c r="G78" s="69"/>
    </row>
    <row r="79" spans="3:11" x14ac:dyDescent="0.2">
      <c r="C79" s="69"/>
      <c r="D79" s="69"/>
      <c r="E79" s="69"/>
      <c r="F79" s="69"/>
      <c r="G79" s="69"/>
    </row>
    <row r="80" spans="3:11" x14ac:dyDescent="0.2">
      <c r="C80" s="69"/>
      <c r="D80" s="69"/>
      <c r="E80" s="69"/>
      <c r="F80" s="69"/>
      <c r="G80" s="69"/>
    </row>
    <row r="81" spans="3:7" x14ac:dyDescent="0.2">
      <c r="C81" s="69"/>
      <c r="D81" s="69"/>
      <c r="E81" s="69"/>
      <c r="F81" s="69"/>
      <c r="G81" s="69"/>
    </row>
  </sheetData>
  <mergeCells count="66">
    <mergeCell ref="C81:G81"/>
    <mergeCell ref="C75:G75"/>
    <mergeCell ref="C76:G76"/>
    <mergeCell ref="C77:G77"/>
    <mergeCell ref="C78:G78"/>
    <mergeCell ref="C79:G79"/>
    <mergeCell ref="C80:G80"/>
    <mergeCell ref="C74:G74"/>
    <mergeCell ref="C63:G63"/>
    <mergeCell ref="C64:G64"/>
    <mergeCell ref="C65:G65"/>
    <mergeCell ref="C66:G66"/>
    <mergeCell ref="C67:G67"/>
    <mergeCell ref="C68:G68"/>
    <mergeCell ref="C69:G69"/>
    <mergeCell ref="C70:G70"/>
    <mergeCell ref="C71:G71"/>
    <mergeCell ref="C72:G72"/>
    <mergeCell ref="C73:G73"/>
    <mergeCell ref="C62:G62"/>
    <mergeCell ref="C48:G48"/>
    <mergeCell ref="C49:G49"/>
    <mergeCell ref="C50:G50"/>
    <mergeCell ref="C51:G51"/>
    <mergeCell ref="C52:G52"/>
    <mergeCell ref="C53:G53"/>
    <mergeCell ref="C54:G54"/>
    <mergeCell ref="C55:G55"/>
    <mergeCell ref="C58:G58"/>
    <mergeCell ref="C60:G60"/>
    <mergeCell ref="C61:G61"/>
    <mergeCell ref="C47:G47"/>
    <mergeCell ref="C36:G36"/>
    <mergeCell ref="C37:G37"/>
    <mergeCell ref="C38:G38"/>
    <mergeCell ref="C39:G39"/>
    <mergeCell ref="C40:G40"/>
    <mergeCell ref="C41:G41"/>
    <mergeCell ref="C42:G42"/>
    <mergeCell ref="C43:G43"/>
    <mergeCell ref="C44:G44"/>
    <mergeCell ref="C45:G45"/>
    <mergeCell ref="C46:G46"/>
    <mergeCell ref="C35:G35"/>
    <mergeCell ref="C18:G18"/>
    <mergeCell ref="C19:G19"/>
    <mergeCell ref="C20:G20"/>
    <mergeCell ref="C25:G25"/>
    <mergeCell ref="C26:G26"/>
    <mergeCell ref="C27:G27"/>
    <mergeCell ref="C28:G28"/>
    <mergeCell ref="C29:G29"/>
    <mergeCell ref="C30:G30"/>
    <mergeCell ref="C31:G31"/>
    <mergeCell ref="C32:G32"/>
    <mergeCell ref="C17:G17"/>
    <mergeCell ref="A3:E3"/>
    <mergeCell ref="C8:G8"/>
    <mergeCell ref="C9:G9"/>
    <mergeCell ref="C10:G10"/>
    <mergeCell ref="C11:G11"/>
    <mergeCell ref="C12:G12"/>
    <mergeCell ref="C13:G13"/>
    <mergeCell ref="C14:G14"/>
    <mergeCell ref="C15:G15"/>
    <mergeCell ref="C16:G16"/>
  </mergeCells>
  <conditionalFormatting sqref="I4">
    <cfRule type="cellIs" dxfId="24" priority="1" operator="notEqual">
      <formula>0</formula>
    </cfRule>
  </conditionalFormatting>
  <hyperlinks>
    <hyperlink ref="A3:E3" location="HL_Navigator" tooltip="Go to Navigator (Table of Contents)" display="Navigator" xr:uid="{00000000-0004-0000-0200-000000000000}"/>
    <hyperlink ref="A3" location="HL_Navigator" display="Navigator" xr:uid="{00000000-0004-0000-0200-000001000000}"/>
    <hyperlink ref="I4" location="Overall_Error_Check" tooltip="Go to Overall Error Check" display="Overall_Error_Check" xr:uid="{00000000-0004-0000-0200-000002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2">
    <outlinePr summaryBelow="0"/>
  </sheetPr>
  <dimension ref="A1:S33"/>
  <sheetViews>
    <sheetView showGridLines="0" zoomScaleNormal="100" workbookViewId="0">
      <pane ySplit="4" topLeftCell="A5" activePane="bottomLeft" state="frozen"/>
      <selection activeCell="A3" sqref="A3:E3"/>
      <selection pane="bottomLeft" activeCell="A3" sqref="A3:E3"/>
    </sheetView>
  </sheetViews>
  <sheetFormatPr defaultColWidth="0" defaultRowHeight="12" outlineLevelRow="1" x14ac:dyDescent="0.2"/>
  <cols>
    <col min="1" max="5" width="3.7109375" customWidth="1"/>
    <col min="6" max="6" width="16.28515625" customWidth="1"/>
    <col min="7" max="7" width="14.42578125" customWidth="1"/>
    <col min="8" max="8" width="3" customWidth="1"/>
    <col min="9" max="18" width="9.140625" customWidth="1"/>
    <col min="19" max="19" width="1.7109375" customWidth="1"/>
    <col min="20" max="16384" width="9.140625" hidden="1"/>
  </cols>
  <sheetData>
    <row r="1" spans="1:18" ht="20.25" x14ac:dyDescent="0.3">
      <c r="A1" s="43" t="str">
        <f ca="1">IF(ISERROR(RIGHT(CELL("filename",A1),LEN(CELL("filename",A1))-FIND("]",CELL("filename",A1)))),
"",
RIGHT(CELL("filename",A1),LEN(CELL("filename",A1))-FIND("]",CELL("filename",A1))))</f>
        <v>Model Parameters</v>
      </c>
      <c r="J1" s="68"/>
      <c r="K1" s="68"/>
    </row>
    <row r="2" spans="1:18" ht="18" x14ac:dyDescent="0.25">
      <c r="A2" s="44" t="str">
        <f ca="1">Model_Name</f>
        <v>SP Vertical RainCloud Chart - Complete.xlsm</v>
      </c>
    </row>
    <row r="3" spans="1:18" x14ac:dyDescent="0.2">
      <c r="A3" s="68" t="s">
        <v>1</v>
      </c>
      <c r="B3" s="68"/>
      <c r="C3" s="68"/>
      <c r="D3" s="68"/>
      <c r="E3" s="68"/>
    </row>
    <row r="4" spans="1:18" ht="14.25" x14ac:dyDescent="0.2">
      <c r="E4" t="s">
        <v>2</v>
      </c>
      <c r="I4" s="1">
        <f>Overall_Error_Check</f>
        <v>0</v>
      </c>
    </row>
    <row r="6" spans="1:18" ht="16.5" thickBot="1" x14ac:dyDescent="0.3">
      <c r="B6" s="45">
        <f>MAX($B$5:$B5)+1</f>
        <v>1</v>
      </c>
      <c r="C6" s="2" t="s">
        <v>3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2.75" outlineLevel="1" thickTop="1" x14ac:dyDescent="0.2"/>
    <row r="8" spans="1:18" ht="16.5" outlineLevel="1" x14ac:dyDescent="0.25">
      <c r="C8" s="3" t="s">
        <v>4</v>
      </c>
    </row>
    <row r="9" spans="1:18" ht="16.5" outlineLevel="1" x14ac:dyDescent="0.25">
      <c r="C9" s="3"/>
    </row>
    <row r="10" spans="1:18" ht="16.5" outlineLevel="1" x14ac:dyDescent="0.25">
      <c r="C10" s="3"/>
      <c r="E10" s="4" t="s">
        <v>3</v>
      </c>
    </row>
    <row r="11" spans="1:18" outlineLevel="1" x14ac:dyDescent="0.2">
      <c r="E11" t="s">
        <v>5</v>
      </c>
      <c r="G11" s="71" t="str">
        <f ca="1">IF(ISERROR(OR(FIND("[",CELL("filename",A1)),FIND("]",CELL("filename",A1)))),"",MID(CELL("filename",A1),FIND("[",CELL("filename",A1))+1,FIND("]",CELL("filename",A1))-FIND("[",CELL("filename",A1))-1))</f>
        <v>SP Vertical RainCloud Chart - Complete.xlsm</v>
      </c>
      <c r="H11" s="71"/>
      <c r="I11" s="71"/>
      <c r="J11" s="71"/>
      <c r="K11" s="71"/>
      <c r="L11" s="71"/>
      <c r="M11" s="71"/>
      <c r="N11" s="71"/>
    </row>
    <row r="12" spans="1:18" outlineLevel="1" x14ac:dyDescent="0.2">
      <c r="E12" t="s">
        <v>6</v>
      </c>
      <c r="G12" s="72" t="s">
        <v>96</v>
      </c>
      <c r="H12" s="72"/>
      <c r="I12" s="72"/>
      <c r="J12" s="72"/>
      <c r="K12" s="72"/>
      <c r="L12" s="72"/>
      <c r="M12" s="72"/>
      <c r="N12" s="72"/>
    </row>
    <row r="13" spans="1:18" outlineLevel="1" x14ac:dyDescent="0.2"/>
    <row r="14" spans="1:18" outlineLevel="1" x14ac:dyDescent="0.2"/>
    <row r="15" spans="1:18" ht="16.5" thickBot="1" x14ac:dyDescent="0.3">
      <c r="B15" s="45">
        <f>MAX($B$5:$B14)+1</f>
        <v>2</v>
      </c>
      <c r="C15" s="2" t="s">
        <v>7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1:18" ht="12.75" outlineLevel="1" thickTop="1" x14ac:dyDescent="0.2"/>
    <row r="17" spans="3:7" ht="16.5" outlineLevel="1" x14ac:dyDescent="0.25">
      <c r="C17" s="3" t="s">
        <v>8</v>
      </c>
    </row>
    <row r="18" spans="3:7" outlineLevel="1" x14ac:dyDescent="0.2"/>
    <row r="19" spans="3:7" outlineLevel="1" x14ac:dyDescent="0.2">
      <c r="E19" t="s">
        <v>9</v>
      </c>
      <c r="G19" s="5">
        <v>365</v>
      </c>
    </row>
    <row r="20" spans="3:7" outlineLevel="1" x14ac:dyDescent="0.2">
      <c r="E20" t="s">
        <v>10</v>
      </c>
      <c r="G20" s="5">
        <v>1</v>
      </c>
    </row>
    <row r="21" spans="3:7" outlineLevel="1" x14ac:dyDescent="0.2">
      <c r="E21" t="s">
        <v>11</v>
      </c>
      <c r="G21" s="5">
        <v>3</v>
      </c>
    </row>
    <row r="22" spans="3:7" outlineLevel="1" x14ac:dyDescent="0.2">
      <c r="E22" t="s">
        <v>12</v>
      </c>
      <c r="G22" s="5">
        <v>6</v>
      </c>
    </row>
    <row r="23" spans="3:7" outlineLevel="1" x14ac:dyDescent="0.2">
      <c r="E23" t="s">
        <v>13</v>
      </c>
      <c r="G23" s="5">
        <v>12</v>
      </c>
    </row>
    <row r="24" spans="3:7" outlineLevel="1" x14ac:dyDescent="0.2">
      <c r="E24" t="s">
        <v>14</v>
      </c>
      <c r="G24" s="5">
        <v>4</v>
      </c>
    </row>
    <row r="25" spans="3:7" outlineLevel="1" x14ac:dyDescent="0.2"/>
    <row r="26" spans="3:7" outlineLevel="1" x14ac:dyDescent="0.2">
      <c r="E26" t="s">
        <v>15</v>
      </c>
      <c r="G26" s="5">
        <v>5</v>
      </c>
    </row>
    <row r="27" spans="3:7" outlineLevel="1" x14ac:dyDescent="0.2"/>
    <row r="28" spans="3:7" outlineLevel="1" x14ac:dyDescent="0.2">
      <c r="E28" t="s">
        <v>16</v>
      </c>
      <c r="G28" s="6">
        <v>9.9999999999999997E+98</v>
      </c>
    </row>
    <row r="29" spans="3:7" outlineLevel="1" x14ac:dyDescent="0.2">
      <c r="E29" t="s">
        <v>17</v>
      </c>
      <c r="G29" s="6">
        <v>1E-8</v>
      </c>
    </row>
    <row r="30" spans="3:7" outlineLevel="1" x14ac:dyDescent="0.2"/>
    <row r="31" spans="3:7" outlineLevel="1" x14ac:dyDescent="0.2">
      <c r="E31" t="s">
        <v>18</v>
      </c>
      <c r="G31" s="5">
        <v>1000</v>
      </c>
    </row>
    <row r="32" spans="3:7" outlineLevel="1" x14ac:dyDescent="0.2"/>
    <row r="33" outlineLevel="1" x14ac:dyDescent="0.2"/>
  </sheetData>
  <sheetProtection formatColumns="0" formatRows="0"/>
  <mergeCells count="4">
    <mergeCell ref="J1:K1"/>
    <mergeCell ref="A3:E3"/>
    <mergeCell ref="G11:N11"/>
    <mergeCell ref="G12:N12"/>
  </mergeCells>
  <conditionalFormatting sqref="I4">
    <cfRule type="cellIs" dxfId="23" priority="1" operator="notEqual">
      <formula>0</formula>
    </cfRule>
  </conditionalFormatting>
  <hyperlinks>
    <hyperlink ref="A3:E3" location="HL_Navigator" tooltip="Go to Navigator (Table of Contents)" display="Navigator" xr:uid="{00000000-0004-0000-0300-000000000000}"/>
    <hyperlink ref="A3" location="HL_Navigator" display="Navigator" xr:uid="{00000000-0004-0000-0300-000001000000}"/>
    <hyperlink ref="I4" location="Overall_Error_Check" tooltip="Go to Overall Error Check" display="Overall_Error_Check" xr:uid="{00000000-0004-0000-0300-000002000000}"/>
  </hyperlinks>
  <pageMargins left="0.70866141732283472" right="0.70866141732283472" top="0.74803149606299213" bottom="0.74803149606299213" header="0.31496062992125984" footer="0.31496062992125984"/>
  <pageSetup paperSize="8" scale="7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outlinePr summaryBelow="0"/>
  </sheetPr>
  <dimension ref="A1:O21"/>
  <sheetViews>
    <sheetView showGridLines="0" workbookViewId="0">
      <pane ySplit="9" topLeftCell="A10" activePane="bottomLeft" state="frozen"/>
      <selection pane="bottomLeft" activeCell="A3" sqref="A3:E3"/>
    </sheetView>
  </sheetViews>
  <sheetFormatPr defaultRowHeight="12" outlineLevelRow="1" x14ac:dyDescent="0.2"/>
  <cols>
    <col min="1" max="5" width="3.7109375" customWidth="1"/>
    <col min="7" max="7" width="22.140625" customWidth="1"/>
    <col min="8" max="8" width="10.7109375" customWidth="1"/>
    <col min="10" max="14" width="10.7109375" customWidth="1"/>
  </cols>
  <sheetData>
    <row r="1" spans="1:15" ht="20.25" x14ac:dyDescent="0.3">
      <c r="A1" s="43" t="str">
        <f ca="1">IF(ISERROR(RIGHT(CELL("filename",A1),LEN(CELL("filename",A1))-FIND("]",CELL("filename",A1)))),
"",
RIGHT(CELL("filename",A1),LEN(CELL("filename",A1))-FIND("]",CELL("filename",A1))))</f>
        <v>Timing</v>
      </c>
    </row>
    <row r="2" spans="1:15" ht="18" x14ac:dyDescent="0.25">
      <c r="A2" s="44" t="str">
        <f ca="1">Model_Name</f>
        <v>SP Vertical RainCloud Chart - Complete.xlsm</v>
      </c>
    </row>
    <row r="3" spans="1:15" x14ac:dyDescent="0.2">
      <c r="A3" s="68" t="s">
        <v>1</v>
      </c>
      <c r="B3" s="68"/>
      <c r="C3" s="68"/>
      <c r="D3" s="68"/>
      <c r="E3" s="68"/>
    </row>
    <row r="4" spans="1:15" ht="14.25" x14ac:dyDescent="0.2">
      <c r="B4" t="s">
        <v>2</v>
      </c>
      <c r="F4" s="1">
        <f>Overall_Error_Check</f>
        <v>0</v>
      </c>
    </row>
    <row r="5" spans="1:15" x14ac:dyDescent="0.2">
      <c r="J5" s="39">
        <f ca="1">J$7</f>
        <v>45382</v>
      </c>
      <c r="K5" s="39">
        <f ca="1">K$7</f>
        <v>45473</v>
      </c>
      <c r="L5" s="39">
        <f ca="1">L$7</f>
        <v>45565</v>
      </c>
      <c r="M5" s="39">
        <f ca="1">M$7</f>
        <v>45657</v>
      </c>
      <c r="N5" s="39">
        <f ca="1">N$7</f>
        <v>45747</v>
      </c>
    </row>
    <row r="6" spans="1:15" outlineLevel="1" x14ac:dyDescent="0.2">
      <c r="C6" t="s">
        <v>70</v>
      </c>
      <c r="J6" s="38">
        <f ca="1">IF(J$9=1,Model_Start_Date,I$7+1)</f>
        <v>45300</v>
      </c>
      <c r="K6" s="38">
        <f ca="1">IF(K$9=1,Model_Start_Date,J$7+1)</f>
        <v>45383</v>
      </c>
      <c r="L6" s="38">
        <f ca="1">IF(L$9=1,Model_Start_Date,K$7+1)</f>
        <v>45474</v>
      </c>
      <c r="M6" s="38">
        <f ca="1">IF(M$9=1,Model_Start_Date,L$7+1)</f>
        <v>45566</v>
      </c>
      <c r="N6" s="38">
        <f ca="1">IF(N$9=1,Model_Start_Date,M$7+1)</f>
        <v>45658</v>
      </c>
    </row>
    <row r="7" spans="1:15" outlineLevel="1" x14ac:dyDescent="0.2">
      <c r="C7" t="s">
        <v>71</v>
      </c>
      <c r="J7" s="38">
        <f ca="1">EOMONTH(J$6,MOD(Periodicity+Reporting_Month_Factor-MONTH(J$6),Periodicity))</f>
        <v>45382</v>
      </c>
      <c r="K7" s="38">
        <f ca="1">EOMONTH(K$6,MOD(Periodicity+Reporting_Month_Factor-MONTH(K$6),Periodicity))</f>
        <v>45473</v>
      </c>
      <c r="L7" s="38">
        <f ca="1">EOMONTH(L$6,MOD(Periodicity+Reporting_Month_Factor-MONTH(L$6),Periodicity))</f>
        <v>45565</v>
      </c>
      <c r="M7" s="38">
        <f ca="1">EOMONTH(M$6,MOD(Periodicity+Reporting_Month_Factor-MONTH(M$6),Periodicity))</f>
        <v>45657</v>
      </c>
      <c r="N7" s="38">
        <f ca="1">EOMONTH(N$6,MOD(Periodicity+Reporting_Month_Factor-MONTH(N$6),Periodicity))</f>
        <v>45747</v>
      </c>
    </row>
    <row r="8" spans="1:15" outlineLevel="1" x14ac:dyDescent="0.2">
      <c r="C8" t="s">
        <v>73</v>
      </c>
      <c r="J8" s="34">
        <f ca="1">J7-J6+1</f>
        <v>83</v>
      </c>
      <c r="K8" s="34">
        <f t="shared" ref="K8:N8" ca="1" si="0">K7-K6+1</f>
        <v>91</v>
      </c>
      <c r="L8" s="34">
        <f t="shared" ca="1" si="0"/>
        <v>92</v>
      </c>
      <c r="M8" s="34">
        <f t="shared" ca="1" si="0"/>
        <v>92</v>
      </c>
      <c r="N8" s="34">
        <f t="shared" ca="1" si="0"/>
        <v>90</v>
      </c>
    </row>
    <row r="9" spans="1:15" ht="15" outlineLevel="1" x14ac:dyDescent="0.25">
      <c r="C9" t="s">
        <v>72</v>
      </c>
      <c r="I9" s="23"/>
      <c r="J9" s="34">
        <f>N(I$9)+1</f>
        <v>1</v>
      </c>
      <c r="K9" s="34">
        <f t="shared" ref="K9:N9" si="1">N(J$9)+1</f>
        <v>2</v>
      </c>
      <c r="L9" s="34">
        <f t="shared" si="1"/>
        <v>3</v>
      </c>
      <c r="M9" s="34">
        <f t="shared" si="1"/>
        <v>4</v>
      </c>
      <c r="N9" s="34">
        <f t="shared" si="1"/>
        <v>5</v>
      </c>
    </row>
    <row r="10" spans="1:15" x14ac:dyDescent="0.2">
      <c r="A10" s="11"/>
    </row>
    <row r="11" spans="1:15" ht="16.5" thickBot="1" x14ac:dyDescent="0.3">
      <c r="B11" s="45">
        <f>MAX($B$10:$B10)+1</f>
        <v>1</v>
      </c>
      <c r="C11" s="41" t="s">
        <v>74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12.75" thickTop="1" x14ac:dyDescent="0.2"/>
    <row r="13" spans="1:15" ht="16.5" x14ac:dyDescent="0.25">
      <c r="C13" s="3" t="s">
        <v>75</v>
      </c>
    </row>
    <row r="15" spans="1:15" x14ac:dyDescent="0.2">
      <c r="D15" t="s">
        <v>76</v>
      </c>
      <c r="H15" s="53">
        <f ca="1">TODAY()</f>
        <v>45300</v>
      </c>
    </row>
    <row r="17" spans="4:9" x14ac:dyDescent="0.2">
      <c r="D17" t="s">
        <v>77</v>
      </c>
      <c r="H17" s="46">
        <v>3</v>
      </c>
    </row>
    <row r="19" spans="4:9" x14ac:dyDescent="0.2">
      <c r="D19" t="s">
        <v>78</v>
      </c>
      <c r="H19" s="46">
        <v>12</v>
      </c>
      <c r="I19" s="19" t="str">
        <f ca="1">"e.g. "&amp;TEXT(DATE(YEAR(Model_Start_Date)+IF(Example_Reporting_Month&lt;MONTH(Model_Start_Date),1,0),Example_Reporting_Month+1,1)-1,"dd-Mmm-yy")</f>
        <v>e.g. 31-Dec-24</v>
      </c>
    </row>
    <row r="21" spans="4:9" x14ac:dyDescent="0.2">
      <c r="D21" t="s">
        <v>79</v>
      </c>
      <c r="H21" s="35">
        <f>MOD(Example_Reporting_Month-1,Periodicity)+1</f>
        <v>3</v>
      </c>
    </row>
  </sheetData>
  <mergeCells count="1">
    <mergeCell ref="A3:E3"/>
  </mergeCells>
  <conditionalFormatting sqref="F4">
    <cfRule type="cellIs" dxfId="22" priority="1" operator="notEqual">
      <formula>0</formula>
    </cfRule>
  </conditionalFormatting>
  <dataValidations count="1">
    <dataValidation type="list" allowBlank="1" showInputMessage="1" showErrorMessage="1" sqref="H17" xr:uid="{00000000-0002-0000-0400-000000000000}">
      <formula1>"1,2,3,4,6,12"</formula1>
    </dataValidation>
  </dataValidations>
  <hyperlinks>
    <hyperlink ref="F4" location="Overall_Error_Check" tooltip="Go to Overall Error Check" display="Overall_Error_Check" xr:uid="{00000000-0004-0000-0400-000000000000}"/>
    <hyperlink ref="A3:E3" location="HL_Navigator" tooltip="Go to Navigator (Table of Contents)" display="Navigator" xr:uid="{00000000-0004-0000-0400-000001000000}"/>
    <hyperlink ref="A3" location="HL_Navigator" display="Navigator" xr:uid="{00000000-0004-0000-0400-000002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625C7-A98F-420C-8803-48E3FA90D51C}">
  <dimension ref="A1:S69"/>
  <sheetViews>
    <sheetView showGridLines="0" tabSelected="1" zoomScaleNormal="100" zoomScaleSheetLayoutView="85" workbookViewId="0">
      <pane ySplit="4" topLeftCell="A5" activePane="bottomLeft" state="frozen"/>
      <selection pane="bottomLeft" activeCell="J31" sqref="J31"/>
    </sheetView>
  </sheetViews>
  <sheetFormatPr defaultColWidth="9.140625" defaultRowHeight="12" x14ac:dyDescent="0.2"/>
  <cols>
    <col min="1" max="3" width="3.7109375" customWidth="1"/>
    <col min="4" max="4" width="7" bestFit="1" customWidth="1"/>
    <col min="5" max="5" width="17.5703125" bestFit="1" customWidth="1"/>
    <col min="6" max="6" width="16.140625" bestFit="1" customWidth="1"/>
    <col min="7" max="7" width="17.42578125" bestFit="1" customWidth="1"/>
    <col min="8" max="8" width="7" customWidth="1"/>
    <col min="9" max="9" width="14.5703125" bestFit="1" customWidth="1"/>
    <col min="10" max="10" width="16.28515625" bestFit="1" customWidth="1"/>
    <col min="11" max="12" width="8.7109375" customWidth="1"/>
    <col min="13" max="13" width="11.7109375" customWidth="1"/>
    <col min="14" max="19" width="8.85546875" customWidth="1"/>
  </cols>
  <sheetData>
    <row r="1" spans="1:19" ht="20.25" x14ac:dyDescent="0.3">
      <c r="A1" s="43" t="str">
        <f ca="1">IF(ISERROR(RIGHT(CELL("filename",A1),LEN(CELL("filename",A1))-FIND("]",CELL("filename",A1)))),
"",
RIGHT(CELL("filename",A1),LEN(CELL("filename",A1))-FIND("]",CELL("filename",A1))))</f>
        <v>Vertical Raincloud - 1 Cloud</v>
      </c>
    </row>
    <row r="2" spans="1:19" ht="18" x14ac:dyDescent="0.25">
      <c r="A2" s="44" t="str">
        <f ca="1">Model_Name</f>
        <v>SP Vertical RainCloud Chart - Complete.xlsm</v>
      </c>
    </row>
    <row r="3" spans="1:19" x14ac:dyDescent="0.2">
      <c r="A3" s="68" t="s">
        <v>1</v>
      </c>
      <c r="B3" s="68"/>
      <c r="C3" s="68"/>
      <c r="D3" s="68"/>
      <c r="E3" s="68"/>
    </row>
    <row r="4" spans="1:19" ht="14.25" x14ac:dyDescent="0.2">
      <c r="B4" t="s">
        <v>2</v>
      </c>
      <c r="F4" s="1">
        <f>Overall_Error_Check</f>
        <v>0</v>
      </c>
    </row>
    <row r="5" spans="1:19" x14ac:dyDescent="0.2">
      <c r="A5" s="11"/>
    </row>
    <row r="6" spans="1:19" ht="16.5" thickBot="1" x14ac:dyDescent="0.3">
      <c r="B6" s="45">
        <f>MAX($B$5:$B5)+1</f>
        <v>1</v>
      </c>
      <c r="C6" s="2" t="s">
        <v>118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ht="12.75" thickTop="1" x14ac:dyDescent="0.2"/>
    <row r="9" spans="1:19" x14ac:dyDescent="0.2">
      <c r="D9" s="13" t="s">
        <v>99</v>
      </c>
      <c r="E9" s="13" t="s">
        <v>109</v>
      </c>
      <c r="F9" s="13" t="s">
        <v>110</v>
      </c>
      <c r="G9" s="13" t="s">
        <v>113</v>
      </c>
      <c r="I9" s="59" t="s">
        <v>111</v>
      </c>
      <c r="J9" s="58">
        <v>1.5</v>
      </c>
    </row>
    <row r="10" spans="1:19" x14ac:dyDescent="0.2">
      <c r="D10" s="66">
        <v>27</v>
      </c>
      <c r="E10" s="28">
        <f>COUNTIF(D$10:D10,D10)</f>
        <v>1</v>
      </c>
      <c r="F10" s="28">
        <f t="shared" ref="F10:F41" si="0">IF(E10=1,J$9,F9+J$10)</f>
        <v>1.5</v>
      </c>
      <c r="G10" s="28">
        <f>Cloud[[#This Row],[Cloud 1]]</f>
        <v>27</v>
      </c>
      <c r="I10" s="59" t="s">
        <v>112</v>
      </c>
      <c r="J10" s="58">
        <v>0.1</v>
      </c>
    </row>
    <row r="11" spans="1:19" x14ac:dyDescent="0.2">
      <c r="D11" s="66">
        <v>18</v>
      </c>
      <c r="E11" s="28">
        <f>COUNTIF(D$10:D11,D11)</f>
        <v>1</v>
      </c>
      <c r="F11" s="28">
        <f t="shared" si="0"/>
        <v>1.5</v>
      </c>
      <c r="G11" s="28">
        <f>Cloud[[#This Row],[Cloud 1]]</f>
        <v>18</v>
      </c>
    </row>
    <row r="12" spans="1:19" x14ac:dyDescent="0.2">
      <c r="D12" s="66">
        <v>95</v>
      </c>
      <c r="E12" s="28">
        <f>COUNTIF(D$10:D12,D12)</f>
        <v>1</v>
      </c>
      <c r="F12" s="28">
        <f t="shared" si="0"/>
        <v>1.5</v>
      </c>
      <c r="G12" s="28">
        <f>Cloud[[#This Row],[Cloud 1]]</f>
        <v>95</v>
      </c>
      <c r="I12" s="13" t="s">
        <v>100</v>
      </c>
      <c r="J12" s="13" t="s">
        <v>114</v>
      </c>
    </row>
    <row r="13" spans="1:19" x14ac:dyDescent="0.2">
      <c r="D13" s="66">
        <v>90</v>
      </c>
      <c r="E13" s="28">
        <f>COUNTIF(D$10:D13,D13)</f>
        <v>1</v>
      </c>
      <c r="F13" s="28">
        <f t="shared" si="0"/>
        <v>1.5</v>
      </c>
      <c r="G13" s="28">
        <f>Cloud[[#This Row],[Cloud 1]]</f>
        <v>90</v>
      </c>
      <c r="I13" s="54">
        <v>0</v>
      </c>
      <c r="J13" s="28">
        <f>PERCENTILE(Cloud[Cloud 1],$I13)</f>
        <v>1</v>
      </c>
    </row>
    <row r="14" spans="1:19" x14ac:dyDescent="0.2">
      <c r="D14" s="66">
        <v>53</v>
      </c>
      <c r="E14" s="28">
        <f>COUNTIF(D$10:D14,D14)</f>
        <v>1</v>
      </c>
      <c r="F14" s="28">
        <f t="shared" si="0"/>
        <v>1.5</v>
      </c>
      <c r="G14" s="28">
        <f>Cloud[[#This Row],[Cloud 1]]</f>
        <v>53</v>
      </c>
      <c r="I14" s="54">
        <v>0.1</v>
      </c>
      <c r="J14" s="28">
        <f>PERCENTILE(Cloud[Cloud 1],$I14)</f>
        <v>11.9</v>
      </c>
    </row>
    <row r="15" spans="1:19" x14ac:dyDescent="0.2">
      <c r="D15" s="66">
        <v>17</v>
      </c>
      <c r="E15" s="28">
        <f>COUNTIF(D$10:D15,D15)</f>
        <v>1</v>
      </c>
      <c r="F15" s="28">
        <f t="shared" si="0"/>
        <v>1.5</v>
      </c>
      <c r="G15" s="28">
        <f>Cloud[[#This Row],[Cloud 1]]</f>
        <v>17</v>
      </c>
      <c r="I15" s="54">
        <v>0.25</v>
      </c>
      <c r="J15" s="28">
        <f>PERCENTILE(Cloud[Cloud 1],$I15)</f>
        <v>20.5</v>
      </c>
    </row>
    <row r="16" spans="1:19" x14ac:dyDescent="0.2">
      <c r="D16" s="66">
        <v>92</v>
      </c>
      <c r="E16" s="28">
        <f>COUNTIF(D$10:D16,D16)</f>
        <v>1</v>
      </c>
      <c r="F16" s="28">
        <f t="shared" si="0"/>
        <v>1.5</v>
      </c>
      <c r="G16" s="28">
        <f>Cloud[[#This Row],[Cloud 1]]</f>
        <v>92</v>
      </c>
      <c r="I16" s="54">
        <v>0.5</v>
      </c>
      <c r="J16" s="28">
        <f>PERCENTILE(Cloud[Cloud 1],$I16)</f>
        <v>43.5</v>
      </c>
    </row>
    <row r="17" spans="4:10" x14ac:dyDescent="0.2">
      <c r="D17" s="66">
        <v>93</v>
      </c>
      <c r="E17" s="28">
        <f>COUNTIF(D$10:D17,D17)</f>
        <v>1</v>
      </c>
      <c r="F17" s="28">
        <f t="shared" si="0"/>
        <v>1.5</v>
      </c>
      <c r="G17" s="28">
        <f>Cloud[[#This Row],[Cloud 1]]</f>
        <v>93</v>
      </c>
      <c r="I17" s="54">
        <v>0.75</v>
      </c>
      <c r="J17" s="28">
        <f>PERCENTILE(Cloud[Cloud 1],$I17)</f>
        <v>64.75</v>
      </c>
    </row>
    <row r="18" spans="4:10" x14ac:dyDescent="0.2">
      <c r="D18" s="66">
        <v>18</v>
      </c>
      <c r="E18" s="28">
        <f>COUNTIF(D$10:D18,D18)</f>
        <v>2</v>
      </c>
      <c r="F18" s="28">
        <f t="shared" si="0"/>
        <v>1.6</v>
      </c>
      <c r="G18" s="28">
        <f>Cloud[[#This Row],[Cloud 1]]</f>
        <v>18</v>
      </c>
      <c r="I18" s="54">
        <v>0.9</v>
      </c>
      <c r="J18" s="28">
        <f>PERCENTILE(Cloud[Cloud 1],$I18)</f>
        <v>90</v>
      </c>
    </row>
    <row r="19" spans="4:10" x14ac:dyDescent="0.2">
      <c r="D19" s="66">
        <v>15</v>
      </c>
      <c r="E19" s="28">
        <f>COUNTIF(D$10:D19,D19)</f>
        <v>1</v>
      </c>
      <c r="F19" s="28">
        <f t="shared" si="0"/>
        <v>1.5</v>
      </c>
      <c r="G19" s="28">
        <f>Cloud[[#This Row],[Cloud 1]]</f>
        <v>15</v>
      </c>
      <c r="I19" s="55">
        <v>1</v>
      </c>
      <c r="J19" s="28">
        <f>PERCENTILE(Cloud[Cloud 1],$I19)</f>
        <v>99</v>
      </c>
    </row>
    <row r="20" spans="4:10" x14ac:dyDescent="0.2">
      <c r="D20" s="66">
        <v>31</v>
      </c>
      <c r="E20" s="28">
        <f>COUNTIF(D$10:D20,D20)</f>
        <v>1</v>
      </c>
      <c r="F20" s="28">
        <f t="shared" si="0"/>
        <v>1.5</v>
      </c>
      <c r="G20" s="28">
        <f>Cloud[[#This Row],[Cloud 1]]</f>
        <v>31</v>
      </c>
    </row>
    <row r="21" spans="4:10" x14ac:dyDescent="0.2">
      <c r="D21" s="66">
        <v>9</v>
      </c>
      <c r="E21" s="28">
        <f>COUNTIF(D$10:D21,D21)</f>
        <v>1</v>
      </c>
      <c r="F21" s="28">
        <f t="shared" si="0"/>
        <v>1.5</v>
      </c>
      <c r="G21" s="28">
        <f>Cloud[[#This Row],[Cloud 1]]</f>
        <v>9</v>
      </c>
      <c r="I21" s="13" t="s">
        <v>101</v>
      </c>
      <c r="J21" s="13" t="s">
        <v>115</v>
      </c>
    </row>
    <row r="22" spans="4:10" x14ac:dyDescent="0.2">
      <c r="D22" s="66">
        <v>27</v>
      </c>
      <c r="E22" s="28">
        <f>COUNTIF(D$10:D22,D22)</f>
        <v>2</v>
      </c>
      <c r="F22" s="28">
        <f t="shared" si="0"/>
        <v>1.6</v>
      </c>
      <c r="G22" s="28">
        <f>Cloud[[#This Row],[Cloud 1]]</f>
        <v>27</v>
      </c>
      <c r="I22" s="57" t="s">
        <v>102</v>
      </c>
      <c r="J22" s="28">
        <f>J15</f>
        <v>20.5</v>
      </c>
    </row>
    <row r="23" spans="4:10" x14ac:dyDescent="0.2">
      <c r="D23" s="66">
        <v>29</v>
      </c>
      <c r="E23" s="28">
        <f>COUNTIF(D$10:D23,D23)</f>
        <v>1</v>
      </c>
      <c r="F23" s="28">
        <f t="shared" si="0"/>
        <v>1.5</v>
      </c>
      <c r="G23" s="28">
        <f>Cloud[[#This Row],[Cloud 1]]</f>
        <v>29</v>
      </c>
      <c r="I23" s="57" t="s">
        <v>103</v>
      </c>
      <c r="J23" s="28">
        <f>J16-J15</f>
        <v>23</v>
      </c>
    </row>
    <row r="24" spans="4:10" x14ac:dyDescent="0.2">
      <c r="D24" s="66">
        <v>70</v>
      </c>
      <c r="E24" s="28">
        <f>COUNTIF(D$10:D24,D24)</f>
        <v>1</v>
      </c>
      <c r="F24" s="28">
        <f t="shared" si="0"/>
        <v>1.5</v>
      </c>
      <c r="G24" s="28">
        <f>Cloud[[#This Row],[Cloud 1]]</f>
        <v>70</v>
      </c>
      <c r="I24" s="56" t="s">
        <v>104</v>
      </c>
      <c r="J24" s="28">
        <f>J17-J16</f>
        <v>21.25</v>
      </c>
    </row>
    <row r="25" spans="4:10" x14ac:dyDescent="0.2">
      <c r="D25" s="66">
        <v>12</v>
      </c>
      <c r="E25" s="28">
        <f>COUNTIF(D$10:D25,D25)</f>
        <v>1</v>
      </c>
      <c r="F25" s="28">
        <f t="shared" si="0"/>
        <v>1.5</v>
      </c>
      <c r="G25" s="28">
        <f>Cloud[[#This Row],[Cloud 1]]</f>
        <v>12</v>
      </c>
    </row>
    <row r="26" spans="4:10" x14ac:dyDescent="0.2">
      <c r="D26" s="66">
        <v>43</v>
      </c>
      <c r="E26" s="28">
        <f>COUNTIF(D$10:D26,D26)</f>
        <v>1</v>
      </c>
      <c r="F26" s="28">
        <f t="shared" si="0"/>
        <v>1.5</v>
      </c>
      <c r="G26" s="28">
        <f>Cloud[[#This Row],[Cloud 1]]</f>
        <v>43</v>
      </c>
      <c r="I26" s="61" t="s">
        <v>106</v>
      </c>
      <c r="J26" s="58">
        <v>1</v>
      </c>
    </row>
    <row r="27" spans="4:10" x14ac:dyDescent="0.2">
      <c r="D27" s="66">
        <v>39</v>
      </c>
      <c r="E27" s="28">
        <f>COUNTIF(D$10:D27,D27)</f>
        <v>1</v>
      </c>
      <c r="F27" s="28">
        <f t="shared" si="0"/>
        <v>1.5</v>
      </c>
      <c r="G27" s="28">
        <f>Cloud[[#This Row],[Cloud 1]]</f>
        <v>39</v>
      </c>
      <c r="I27" s="61" t="s">
        <v>105</v>
      </c>
      <c r="J27" s="28">
        <f>J16</f>
        <v>43.5</v>
      </c>
    </row>
    <row r="28" spans="4:10" x14ac:dyDescent="0.2">
      <c r="D28" s="66">
        <v>53</v>
      </c>
      <c r="E28" s="28">
        <f>COUNTIF(D$10:D28,D28)</f>
        <v>2</v>
      </c>
      <c r="F28" s="28">
        <f t="shared" si="0"/>
        <v>1.6</v>
      </c>
      <c r="G28" s="28">
        <f>Cloud[[#This Row],[Cloud 1]]</f>
        <v>53</v>
      </c>
    </row>
    <row r="29" spans="4:10" x14ac:dyDescent="0.2">
      <c r="D29" s="66">
        <v>68</v>
      </c>
      <c r="E29" s="28">
        <f>COUNTIF(D$10:D29,D29)</f>
        <v>1</v>
      </c>
      <c r="F29" s="28">
        <f t="shared" si="0"/>
        <v>1.5</v>
      </c>
      <c r="G29" s="28">
        <f>Cloud[[#This Row],[Cloud 1]]</f>
        <v>68</v>
      </c>
      <c r="I29" s="61" t="s">
        <v>116</v>
      </c>
      <c r="J29" s="61"/>
    </row>
    <row r="30" spans="4:10" x14ac:dyDescent="0.2">
      <c r="D30" s="66">
        <v>60</v>
      </c>
      <c r="E30" s="28">
        <f>COUNTIF(D$10:D30,D30)</f>
        <v>1</v>
      </c>
      <c r="F30" s="28">
        <f t="shared" si="0"/>
        <v>1.5</v>
      </c>
      <c r="G30" s="28">
        <f>Cloud[[#This Row],[Cloud 1]]</f>
        <v>60</v>
      </c>
      <c r="I30" s="59" t="s">
        <v>108</v>
      </c>
      <c r="J30" s="28">
        <f>-J16+J18</f>
        <v>46.5</v>
      </c>
    </row>
    <row r="31" spans="4:10" x14ac:dyDescent="0.2">
      <c r="D31" s="66">
        <v>8</v>
      </c>
      <c r="E31" s="28">
        <f>COUNTIF(D$10:D31,D31)</f>
        <v>1</v>
      </c>
      <c r="F31" s="28">
        <f t="shared" si="0"/>
        <v>1.5</v>
      </c>
      <c r="G31" s="28">
        <f>Cloud[[#This Row],[Cloud 1]]</f>
        <v>8</v>
      </c>
      <c r="I31" s="59" t="s">
        <v>107</v>
      </c>
      <c r="J31" s="28">
        <f>J16-J14</f>
        <v>31.6</v>
      </c>
    </row>
    <row r="32" spans="4:10" x14ac:dyDescent="0.2">
      <c r="D32" s="66">
        <v>8</v>
      </c>
      <c r="E32" s="28">
        <f>COUNTIF(D$10:D32,D32)</f>
        <v>2</v>
      </c>
      <c r="F32" s="28">
        <f t="shared" si="0"/>
        <v>1.6</v>
      </c>
      <c r="G32" s="28">
        <f>Cloud[[#This Row],[Cloud 1]]</f>
        <v>8</v>
      </c>
    </row>
    <row r="33" spans="4:7" x14ac:dyDescent="0.2">
      <c r="D33" s="66">
        <v>31</v>
      </c>
      <c r="E33" s="28">
        <f>COUNTIF(D$10:D33,D33)</f>
        <v>2</v>
      </c>
      <c r="F33" s="28">
        <f t="shared" si="0"/>
        <v>1.7000000000000002</v>
      </c>
      <c r="G33" s="28">
        <f>Cloud[[#This Row],[Cloud 1]]</f>
        <v>31</v>
      </c>
    </row>
    <row r="34" spans="4:7" x14ac:dyDescent="0.2">
      <c r="D34" s="66">
        <v>19</v>
      </c>
      <c r="E34" s="28">
        <f>COUNTIF(D$10:D34,D34)</f>
        <v>1</v>
      </c>
      <c r="F34" s="28">
        <f t="shared" si="0"/>
        <v>1.5</v>
      </c>
      <c r="G34" s="28">
        <f>Cloud[[#This Row],[Cloud 1]]</f>
        <v>19</v>
      </c>
    </row>
    <row r="35" spans="4:7" x14ac:dyDescent="0.2">
      <c r="D35" s="66">
        <v>56</v>
      </c>
      <c r="E35" s="28">
        <f>COUNTIF(D$10:D35,D35)</f>
        <v>1</v>
      </c>
      <c r="F35" s="28">
        <f t="shared" si="0"/>
        <v>1.5</v>
      </c>
      <c r="G35" s="28">
        <f>Cloud[[#This Row],[Cloud 1]]</f>
        <v>56</v>
      </c>
    </row>
    <row r="36" spans="4:7" x14ac:dyDescent="0.2">
      <c r="D36" s="66">
        <v>67</v>
      </c>
      <c r="E36" s="28">
        <f>COUNTIF(D$10:D36,D36)</f>
        <v>1</v>
      </c>
      <c r="F36" s="28">
        <f t="shared" si="0"/>
        <v>1.5</v>
      </c>
      <c r="G36" s="28">
        <f>Cloud[[#This Row],[Cloud 1]]</f>
        <v>67</v>
      </c>
    </row>
    <row r="37" spans="4:7" x14ac:dyDescent="0.2">
      <c r="D37" s="66">
        <v>90</v>
      </c>
      <c r="E37" s="28">
        <f>COUNTIF(D$10:D37,D37)</f>
        <v>2</v>
      </c>
      <c r="F37" s="28">
        <f t="shared" si="0"/>
        <v>1.6</v>
      </c>
      <c r="G37" s="28">
        <f>Cloud[[#This Row],[Cloud 1]]</f>
        <v>90</v>
      </c>
    </row>
    <row r="38" spans="4:7" x14ac:dyDescent="0.2">
      <c r="D38" s="66">
        <v>28</v>
      </c>
      <c r="E38" s="28">
        <f>COUNTIF(D$10:D38,D38)</f>
        <v>1</v>
      </c>
      <c r="F38" s="28">
        <f t="shared" si="0"/>
        <v>1.5</v>
      </c>
      <c r="G38" s="28">
        <f>Cloud[[#This Row],[Cloud 1]]</f>
        <v>28</v>
      </c>
    </row>
    <row r="39" spans="4:7" x14ac:dyDescent="0.2">
      <c r="D39" s="66">
        <v>11</v>
      </c>
      <c r="E39" s="28">
        <f>COUNTIF(D$10:D39,D39)</f>
        <v>1</v>
      </c>
      <c r="F39" s="28">
        <f t="shared" si="0"/>
        <v>1.5</v>
      </c>
      <c r="G39" s="28">
        <f>Cloud[[#This Row],[Cloud 1]]</f>
        <v>11</v>
      </c>
    </row>
    <row r="40" spans="4:7" x14ac:dyDescent="0.2">
      <c r="D40" s="66">
        <v>62</v>
      </c>
      <c r="E40" s="28">
        <f>COUNTIF(D$10:D40,D40)</f>
        <v>1</v>
      </c>
      <c r="F40" s="28">
        <f t="shared" si="0"/>
        <v>1.5</v>
      </c>
      <c r="G40" s="28">
        <f>Cloud[[#This Row],[Cloud 1]]</f>
        <v>62</v>
      </c>
    </row>
    <row r="41" spans="4:7" x14ac:dyDescent="0.2">
      <c r="D41" s="66">
        <v>50</v>
      </c>
      <c r="E41" s="28">
        <f>COUNTIF(D$10:D41,D41)</f>
        <v>1</v>
      </c>
      <c r="F41" s="28">
        <f t="shared" si="0"/>
        <v>1.5</v>
      </c>
      <c r="G41" s="28">
        <f>Cloud[[#This Row],[Cloud 1]]</f>
        <v>50</v>
      </c>
    </row>
    <row r="42" spans="4:7" x14ac:dyDescent="0.2">
      <c r="D42" s="66">
        <v>48</v>
      </c>
      <c r="E42" s="28">
        <f>COUNTIF(D$10:D42,D42)</f>
        <v>1</v>
      </c>
      <c r="F42" s="28">
        <f t="shared" ref="F42:F69" si="1">IF(E42=1,J$9,F41+J$10)</f>
        <v>1.5</v>
      </c>
      <c r="G42" s="28">
        <f>Cloud[[#This Row],[Cloud 1]]</f>
        <v>48</v>
      </c>
    </row>
    <row r="43" spans="4:7" x14ac:dyDescent="0.2">
      <c r="D43" s="66">
        <v>21</v>
      </c>
      <c r="E43" s="28">
        <f>COUNTIF(D$10:D43,D43)</f>
        <v>1</v>
      </c>
      <c r="F43" s="28">
        <f t="shared" si="1"/>
        <v>1.5</v>
      </c>
      <c r="G43" s="28">
        <f>Cloud[[#This Row],[Cloud 1]]</f>
        <v>21</v>
      </c>
    </row>
    <row r="44" spans="4:7" x14ac:dyDescent="0.2">
      <c r="D44" s="66">
        <v>51</v>
      </c>
      <c r="E44" s="28">
        <f>COUNTIF(D$10:D44,D44)</f>
        <v>1</v>
      </c>
      <c r="F44" s="28">
        <f t="shared" si="1"/>
        <v>1.5</v>
      </c>
      <c r="G44" s="28">
        <f>Cloud[[#This Row],[Cloud 1]]</f>
        <v>51</v>
      </c>
    </row>
    <row r="45" spans="4:7" x14ac:dyDescent="0.2">
      <c r="D45" s="66">
        <v>33</v>
      </c>
      <c r="E45" s="28">
        <f>COUNTIF(D$10:D45,D45)</f>
        <v>1</v>
      </c>
      <c r="F45" s="28">
        <f t="shared" si="1"/>
        <v>1.5</v>
      </c>
      <c r="G45" s="28">
        <f>Cloud[[#This Row],[Cloud 1]]</f>
        <v>33</v>
      </c>
    </row>
    <row r="46" spans="4:7" x14ac:dyDescent="0.2">
      <c r="D46" s="66">
        <v>13</v>
      </c>
      <c r="E46" s="28">
        <f>COUNTIF(D$10:D46,D46)</f>
        <v>1</v>
      </c>
      <c r="F46" s="28">
        <f t="shared" si="1"/>
        <v>1.5</v>
      </c>
      <c r="G46" s="28">
        <f>Cloud[[#This Row],[Cloud 1]]</f>
        <v>13</v>
      </c>
    </row>
    <row r="47" spans="4:7" x14ac:dyDescent="0.2">
      <c r="D47" s="66">
        <v>63</v>
      </c>
      <c r="E47" s="28">
        <f>COUNTIF(D$10:D47,D47)</f>
        <v>1</v>
      </c>
      <c r="F47" s="28">
        <f t="shared" si="1"/>
        <v>1.5</v>
      </c>
      <c r="G47" s="28">
        <f>Cloud[[#This Row],[Cloud 1]]</f>
        <v>63</v>
      </c>
    </row>
    <row r="48" spans="4:7" x14ac:dyDescent="0.2">
      <c r="D48" s="66">
        <v>73</v>
      </c>
      <c r="E48" s="28">
        <f>COUNTIF(D$10:D48,D48)</f>
        <v>1</v>
      </c>
      <c r="F48" s="28">
        <f t="shared" si="1"/>
        <v>1.5</v>
      </c>
      <c r="G48" s="28">
        <f>Cloud[[#This Row],[Cloud 1]]</f>
        <v>73</v>
      </c>
    </row>
    <row r="49" spans="4:7" x14ac:dyDescent="0.2">
      <c r="D49" s="66">
        <v>99</v>
      </c>
      <c r="E49" s="28">
        <f>COUNTIF(D$10:D49,D49)</f>
        <v>1</v>
      </c>
      <c r="F49" s="28">
        <f t="shared" si="1"/>
        <v>1.5</v>
      </c>
      <c r="G49" s="28">
        <f>Cloud[[#This Row],[Cloud 1]]</f>
        <v>99</v>
      </c>
    </row>
    <row r="50" spans="4:7" x14ac:dyDescent="0.2">
      <c r="D50" s="66">
        <v>38</v>
      </c>
      <c r="E50" s="28">
        <f>COUNTIF(D$10:D50,D50)</f>
        <v>1</v>
      </c>
      <c r="F50" s="28">
        <f t="shared" si="1"/>
        <v>1.5</v>
      </c>
      <c r="G50" s="28">
        <f>Cloud[[#This Row],[Cloud 1]]</f>
        <v>38</v>
      </c>
    </row>
    <row r="51" spans="4:7" x14ac:dyDescent="0.2">
      <c r="D51" s="66">
        <v>67</v>
      </c>
      <c r="E51" s="28">
        <f>COUNTIF(D$10:D51,D51)</f>
        <v>2</v>
      </c>
      <c r="F51" s="28">
        <f t="shared" si="1"/>
        <v>1.6</v>
      </c>
      <c r="G51" s="28">
        <f>Cloud[[#This Row],[Cloud 1]]</f>
        <v>67</v>
      </c>
    </row>
    <row r="52" spans="4:7" x14ac:dyDescent="0.2">
      <c r="D52" s="66">
        <v>1</v>
      </c>
      <c r="E52" s="28">
        <f>COUNTIF(D$10:D52,D52)</f>
        <v>1</v>
      </c>
      <c r="F52" s="28">
        <f t="shared" si="1"/>
        <v>1.5</v>
      </c>
      <c r="G52" s="28">
        <f>Cloud[[#This Row],[Cloud 1]]</f>
        <v>1</v>
      </c>
    </row>
    <row r="53" spans="4:7" x14ac:dyDescent="0.2">
      <c r="D53" s="66">
        <v>68</v>
      </c>
      <c r="E53" s="28">
        <f>COUNTIF(D$10:D53,D53)</f>
        <v>2</v>
      </c>
      <c r="F53" s="28">
        <f t="shared" si="1"/>
        <v>1.6</v>
      </c>
      <c r="G53" s="28">
        <f>Cloud[[#This Row],[Cloud 1]]</f>
        <v>68</v>
      </c>
    </row>
    <row r="54" spans="4:7" x14ac:dyDescent="0.2">
      <c r="D54" s="66">
        <v>12</v>
      </c>
      <c r="E54" s="28">
        <f>COUNTIF(D$10:D54,D54)</f>
        <v>2</v>
      </c>
      <c r="F54" s="28">
        <f t="shared" si="1"/>
        <v>1.7000000000000002</v>
      </c>
      <c r="G54" s="28">
        <f>Cloud[[#This Row],[Cloud 1]]</f>
        <v>12</v>
      </c>
    </row>
    <row r="55" spans="4:7" x14ac:dyDescent="0.2">
      <c r="D55" s="66">
        <v>10</v>
      </c>
      <c r="E55" s="28">
        <f>COUNTIF(D$10:D55,D55)</f>
        <v>1</v>
      </c>
      <c r="F55" s="28">
        <f t="shared" si="1"/>
        <v>1.5</v>
      </c>
      <c r="G55" s="28">
        <f>Cloud[[#This Row],[Cloud 1]]</f>
        <v>10</v>
      </c>
    </row>
    <row r="56" spans="4:7" x14ac:dyDescent="0.2">
      <c r="D56" s="66">
        <v>92</v>
      </c>
      <c r="E56" s="28">
        <f>COUNTIF(D$10:D56,D56)</f>
        <v>2</v>
      </c>
      <c r="F56" s="28">
        <f t="shared" si="1"/>
        <v>1.6</v>
      </c>
      <c r="G56" s="28">
        <f>Cloud[[#This Row],[Cloud 1]]</f>
        <v>92</v>
      </c>
    </row>
    <row r="57" spans="4:7" x14ac:dyDescent="0.2">
      <c r="D57" s="66">
        <v>68</v>
      </c>
      <c r="E57" s="28">
        <f>COUNTIF(D$10:D57,D57)</f>
        <v>3</v>
      </c>
      <c r="F57" s="28">
        <f t="shared" si="1"/>
        <v>1.7000000000000002</v>
      </c>
      <c r="G57" s="28">
        <f>Cloud[[#This Row],[Cloud 1]]</f>
        <v>68</v>
      </c>
    </row>
    <row r="58" spans="4:7" x14ac:dyDescent="0.2">
      <c r="D58" s="66">
        <v>29</v>
      </c>
      <c r="E58" s="28">
        <f>COUNTIF(D$10:D58,D58)</f>
        <v>2</v>
      </c>
      <c r="F58" s="28">
        <f t="shared" si="1"/>
        <v>1.8000000000000003</v>
      </c>
      <c r="G58" s="28">
        <f>Cloud[[#This Row],[Cloud 1]]</f>
        <v>29</v>
      </c>
    </row>
    <row r="59" spans="4:7" x14ac:dyDescent="0.2">
      <c r="D59" s="66">
        <v>31</v>
      </c>
      <c r="E59" s="28">
        <f>COUNTIF(D$10:D59,D59)</f>
        <v>3</v>
      </c>
      <c r="F59" s="28">
        <f t="shared" si="1"/>
        <v>1.9000000000000004</v>
      </c>
      <c r="G59" s="28">
        <f>Cloud[[#This Row],[Cloud 1]]</f>
        <v>31</v>
      </c>
    </row>
    <row r="60" spans="4:7" x14ac:dyDescent="0.2">
      <c r="D60" s="66">
        <v>34</v>
      </c>
      <c r="E60" s="28">
        <f>COUNTIF(D$10:D60,D60)</f>
        <v>1</v>
      </c>
      <c r="F60" s="28">
        <f t="shared" si="1"/>
        <v>1.5</v>
      </c>
      <c r="G60" s="28">
        <f>Cloud[[#This Row],[Cloud 1]]</f>
        <v>34</v>
      </c>
    </row>
    <row r="61" spans="4:7" x14ac:dyDescent="0.2">
      <c r="D61" s="66">
        <v>12</v>
      </c>
      <c r="E61" s="28">
        <f>COUNTIF(D$10:D61,D61)</f>
        <v>3</v>
      </c>
      <c r="F61" s="28">
        <f t="shared" si="1"/>
        <v>1.6</v>
      </c>
      <c r="G61" s="28">
        <f>Cloud[[#This Row],[Cloud 1]]</f>
        <v>12</v>
      </c>
    </row>
    <row r="62" spans="4:7" x14ac:dyDescent="0.2">
      <c r="D62" s="66">
        <v>78</v>
      </c>
      <c r="E62" s="28">
        <f>COUNTIF(D$10:D62,D62)</f>
        <v>1</v>
      </c>
      <c r="F62" s="28">
        <f t="shared" si="1"/>
        <v>1.5</v>
      </c>
      <c r="G62" s="28">
        <f>Cloud[[#This Row],[Cloud 1]]</f>
        <v>78</v>
      </c>
    </row>
    <row r="63" spans="4:7" x14ac:dyDescent="0.2">
      <c r="D63" s="66">
        <v>28</v>
      </c>
      <c r="E63" s="28">
        <f>COUNTIF(D$10:D63,D63)</f>
        <v>2</v>
      </c>
      <c r="F63" s="28">
        <f t="shared" si="1"/>
        <v>1.6</v>
      </c>
      <c r="G63" s="28">
        <f>Cloud[[#This Row],[Cloud 1]]</f>
        <v>28</v>
      </c>
    </row>
    <row r="64" spans="4:7" x14ac:dyDescent="0.2">
      <c r="D64" s="66">
        <v>64</v>
      </c>
      <c r="E64" s="28">
        <f>COUNTIF(D$10:D64,D64)</f>
        <v>1</v>
      </c>
      <c r="F64" s="28">
        <f t="shared" si="1"/>
        <v>1.5</v>
      </c>
      <c r="G64" s="28">
        <f>Cloud[[#This Row],[Cloud 1]]</f>
        <v>64</v>
      </c>
    </row>
    <row r="65" spans="4:7" x14ac:dyDescent="0.2">
      <c r="D65" s="66">
        <v>60</v>
      </c>
      <c r="E65" s="28">
        <f>COUNTIF(D$10:D69,D65)</f>
        <v>2</v>
      </c>
      <c r="F65" s="28">
        <f t="shared" si="1"/>
        <v>1.6</v>
      </c>
      <c r="G65" s="28">
        <f>Cloud[[#This Row],[Cloud 1]]</f>
        <v>60</v>
      </c>
    </row>
    <row r="66" spans="4:7" x14ac:dyDescent="0.2">
      <c r="D66" s="66">
        <v>56</v>
      </c>
      <c r="E66" s="28">
        <f>COUNTIF(D$10:D66,D66)</f>
        <v>2</v>
      </c>
      <c r="F66" s="28">
        <f t="shared" si="1"/>
        <v>1.7000000000000002</v>
      </c>
      <c r="G66" s="28">
        <f>Cloud[[#This Row],[Cloud 1]]</f>
        <v>56</v>
      </c>
    </row>
    <row r="67" spans="4:7" x14ac:dyDescent="0.2">
      <c r="D67" s="66">
        <v>52</v>
      </c>
      <c r="E67" s="28">
        <f>COUNTIF(D$10:D67,D67)</f>
        <v>1</v>
      </c>
      <c r="F67" s="28">
        <f t="shared" si="1"/>
        <v>1.5</v>
      </c>
      <c r="G67" s="28">
        <f>Cloud[[#This Row],[Cloud 1]]</f>
        <v>52</v>
      </c>
    </row>
    <row r="68" spans="4:7" x14ac:dyDescent="0.2">
      <c r="D68" s="66">
        <v>48</v>
      </c>
      <c r="E68" s="28">
        <f>COUNTIF(D$10:D68,D68)</f>
        <v>2</v>
      </c>
      <c r="F68" s="28">
        <f t="shared" si="1"/>
        <v>1.6</v>
      </c>
      <c r="G68" s="28">
        <f>Cloud[[#This Row],[Cloud 1]]</f>
        <v>48</v>
      </c>
    </row>
    <row r="69" spans="4:7" x14ac:dyDescent="0.2">
      <c r="D69" s="66">
        <v>44</v>
      </c>
      <c r="E69" s="28">
        <f>COUNTIF(D$10:D69,D69)</f>
        <v>1</v>
      </c>
      <c r="F69" s="28">
        <f t="shared" si="1"/>
        <v>1.5</v>
      </c>
      <c r="G69" s="28">
        <f>Cloud[[#This Row],[Cloud 1]]</f>
        <v>44</v>
      </c>
    </row>
  </sheetData>
  <mergeCells count="1">
    <mergeCell ref="A3:E3"/>
  </mergeCells>
  <conditionalFormatting sqref="F4">
    <cfRule type="cellIs" dxfId="21" priority="1" operator="notEqual">
      <formula>0</formula>
    </cfRule>
  </conditionalFormatting>
  <hyperlinks>
    <hyperlink ref="D11" location="HL_Navigator" display="Navigator" xr:uid="{C8AD94F9-0856-4707-AAE4-E717644FB3A6}"/>
    <hyperlink ref="F4" location="Overall_Error_Check" tooltip="Go to Overall Error Check" display="Overall_Error_Check" xr:uid="{EAB1AD8F-EE44-4A67-AF54-6AA7640A6E4F}"/>
    <hyperlink ref="A3:E3" location="HL_Navigator" tooltip="Go to Navigator (Table of Contents)" display="Navigator" xr:uid="{305A16D2-2512-44BC-A806-91A400F0316F}"/>
    <hyperlink ref="A3" location="HL_Navigator" display="Navigator" xr:uid="{C00E7630-A871-40F8-83AC-696C701C7FD9}"/>
  </hyperlinks>
  <pageMargins left="0.7" right="0.7" top="0.75" bottom="0.75" header="0.3" footer="0.3"/>
  <pageSetup paperSize="9" scale="59" fitToWidth="0" fitToHeight="0" orientation="landscape" r:id="rId1"/>
  <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2C477-3620-44A6-8176-41F9BBB0D63B}">
  <dimension ref="A1:AM69"/>
  <sheetViews>
    <sheetView showGridLines="0" topLeftCell="N1" zoomScaleNormal="100" zoomScaleSheetLayoutView="70" workbookViewId="0">
      <pane ySplit="4" topLeftCell="A5" activePane="bottomLeft" state="frozen"/>
      <selection pane="bottomLeft" activeCell="R30" sqref="R30"/>
    </sheetView>
  </sheetViews>
  <sheetFormatPr defaultColWidth="9.140625" defaultRowHeight="12" x14ac:dyDescent="0.2"/>
  <cols>
    <col min="1" max="3" width="3.7109375" customWidth="1"/>
    <col min="4" max="4" width="8.7109375" bestFit="1" customWidth="1"/>
    <col min="5" max="6" width="9.140625" bestFit="1" customWidth="1"/>
    <col min="7" max="7" width="21.42578125" bestFit="1" customWidth="1"/>
    <col min="8" max="9" width="21.7109375" bestFit="1" customWidth="1"/>
    <col min="10" max="10" width="20.28515625" bestFit="1" customWidth="1"/>
    <col min="11" max="12" width="20.7109375" bestFit="1" customWidth="1"/>
    <col min="13" max="13" width="21.5703125" bestFit="1" customWidth="1"/>
    <col min="14" max="15" width="22" bestFit="1" customWidth="1"/>
    <col min="16" max="16" width="8.7109375" customWidth="1"/>
    <col min="17" max="17" width="17.42578125" bestFit="1" customWidth="1"/>
    <col min="18" max="18" width="19.5703125" bestFit="1" customWidth="1"/>
    <col min="19" max="20" width="20" bestFit="1" customWidth="1"/>
    <col min="21" max="21" width="4.42578125" customWidth="1"/>
    <col min="22" max="27" width="8.85546875" customWidth="1"/>
  </cols>
  <sheetData>
    <row r="1" spans="1:39" ht="20.25" x14ac:dyDescent="0.3">
      <c r="A1" s="43" t="str">
        <f ca="1">IF(ISERROR(RIGHT(CELL("filename",A1),LEN(CELL("filename",A1))-FIND("]",CELL("filename",A1)))),
"",
RIGHT(CELL("filename",A1),LEN(CELL("filename",A1))-FIND("]",CELL("filename",A1))))</f>
        <v>Vertical Raincloud - 3 Clouds</v>
      </c>
    </row>
    <row r="2" spans="1:39" ht="18" x14ac:dyDescent="0.25">
      <c r="A2" s="44" t="str">
        <f ca="1">Model_Name</f>
        <v>SP Vertical RainCloud Chart - Complete.xlsm</v>
      </c>
    </row>
    <row r="3" spans="1:39" x14ac:dyDescent="0.2">
      <c r="A3" s="68" t="s">
        <v>1</v>
      </c>
      <c r="B3" s="68"/>
      <c r="C3" s="68"/>
      <c r="D3" s="68"/>
      <c r="E3" s="68"/>
    </row>
    <row r="4" spans="1:39" ht="14.25" x14ac:dyDescent="0.2">
      <c r="B4" t="s">
        <v>2</v>
      </c>
      <c r="F4" s="1">
        <f>Overall_Error_Check</f>
        <v>0</v>
      </c>
    </row>
    <row r="5" spans="1:39" x14ac:dyDescent="0.2">
      <c r="A5" s="11"/>
    </row>
    <row r="6" spans="1:39" ht="16.5" thickBot="1" x14ac:dyDescent="0.3">
      <c r="B6" s="45">
        <f>MAX($B$5:$B5)+1</f>
        <v>1</v>
      </c>
      <c r="C6" s="2" t="s">
        <v>118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</row>
    <row r="7" spans="1:39" ht="12.75" thickTop="1" x14ac:dyDescent="0.2"/>
    <row r="9" spans="1:39" x14ac:dyDescent="0.2">
      <c r="D9" s="13" t="s">
        <v>99</v>
      </c>
      <c r="E9" s="13" t="s">
        <v>119</v>
      </c>
      <c r="F9" s="13" t="s">
        <v>120</v>
      </c>
      <c r="G9" s="13" t="s">
        <v>109</v>
      </c>
      <c r="H9" s="13" t="s">
        <v>121</v>
      </c>
      <c r="I9" s="13" t="s">
        <v>122</v>
      </c>
      <c r="J9" s="13" t="s">
        <v>110</v>
      </c>
      <c r="K9" s="13" t="s">
        <v>123</v>
      </c>
      <c r="L9" s="13" t="s">
        <v>124</v>
      </c>
      <c r="M9" s="13" t="s">
        <v>113</v>
      </c>
      <c r="N9" s="13" t="s">
        <v>125</v>
      </c>
      <c r="O9" s="13" t="s">
        <v>126</v>
      </c>
      <c r="Q9" s="59" t="s">
        <v>111</v>
      </c>
      <c r="R9" s="58">
        <v>1.5</v>
      </c>
      <c r="S9" s="58">
        <v>2.5</v>
      </c>
      <c r="T9" s="58">
        <v>3.5</v>
      </c>
    </row>
    <row r="10" spans="1:39" x14ac:dyDescent="0.2">
      <c r="D10" s="20">
        <v>12</v>
      </c>
      <c r="E10" s="20">
        <v>181</v>
      </c>
      <c r="F10" s="65">
        <v>204</v>
      </c>
      <c r="G10" s="28">
        <f>COUNTIF(D$10:D10,D10)</f>
        <v>1</v>
      </c>
      <c r="H10" s="28">
        <f>COUNTIF(E$10:E10,E10)</f>
        <v>1</v>
      </c>
      <c r="I10" s="28">
        <f>COUNTIF(F$10:F10,F10)</f>
        <v>1</v>
      </c>
      <c r="J10" s="28">
        <f t="shared" ref="J10:J41" si="0">IF(G10=1,R$9,J9+R$10)</f>
        <v>1.5</v>
      </c>
      <c r="K10" s="28">
        <f t="shared" ref="K10:K41" si="1">IF(H10=1,S$9,K9+S$10)</f>
        <v>2.5</v>
      </c>
      <c r="L10" s="28">
        <f t="shared" ref="L10:L41" si="2">IF(I10=1,T$9,L9+T$10)</f>
        <v>3.5</v>
      </c>
      <c r="M10" s="28">
        <f>Clouds[[#This Row],[Cloud 1]]</f>
        <v>12</v>
      </c>
      <c r="N10" s="28">
        <f>Clouds[[#This Row],[Cloud 2]]</f>
        <v>181</v>
      </c>
      <c r="O10" s="28">
        <f>Clouds[[#This Row],[Cloud 3]]</f>
        <v>204</v>
      </c>
      <c r="Q10" s="59" t="s">
        <v>112</v>
      </c>
      <c r="R10" s="58">
        <v>0.1</v>
      </c>
      <c r="S10" s="58">
        <v>0.1</v>
      </c>
      <c r="T10" s="58">
        <v>0.1</v>
      </c>
    </row>
    <row r="11" spans="1:39" x14ac:dyDescent="0.2">
      <c r="D11" s="20">
        <v>99</v>
      </c>
      <c r="E11" s="20">
        <v>149</v>
      </c>
      <c r="F11" s="65">
        <v>206</v>
      </c>
      <c r="G11" s="28">
        <f>COUNTIF(D$10:D11,D11)</f>
        <v>1</v>
      </c>
      <c r="H11" s="28">
        <f>COUNTIF(E$10:E11,E11)</f>
        <v>1</v>
      </c>
      <c r="I11" s="28">
        <f>COUNTIF(F$10:F11,F11)</f>
        <v>1</v>
      </c>
      <c r="J11" s="28">
        <f t="shared" si="0"/>
        <v>1.5</v>
      </c>
      <c r="K11" s="28">
        <f t="shared" si="1"/>
        <v>2.5</v>
      </c>
      <c r="L11" s="28">
        <f t="shared" si="2"/>
        <v>3.5</v>
      </c>
      <c r="M11" s="28">
        <f>Clouds[[#This Row],[Cloud 1]]</f>
        <v>99</v>
      </c>
      <c r="N11" s="28">
        <f>Clouds[[#This Row],[Cloud 2]]</f>
        <v>149</v>
      </c>
      <c r="O11" s="28">
        <f>Clouds[[#This Row],[Cloud 3]]</f>
        <v>206</v>
      </c>
    </row>
    <row r="12" spans="1:39" x14ac:dyDescent="0.2">
      <c r="D12" s="20">
        <v>52</v>
      </c>
      <c r="E12" s="20">
        <v>164</v>
      </c>
      <c r="F12" s="65">
        <v>206</v>
      </c>
      <c r="G12" s="28">
        <f>COUNTIF(D$10:D12,D12)</f>
        <v>1</v>
      </c>
      <c r="H12" s="28">
        <f>COUNTIF(E$10:E12,E12)</f>
        <v>1</v>
      </c>
      <c r="I12" s="28">
        <f>COUNTIF(F$10:F12,F12)</f>
        <v>2</v>
      </c>
      <c r="J12" s="28">
        <f t="shared" si="0"/>
        <v>1.5</v>
      </c>
      <c r="K12" s="28">
        <f t="shared" si="1"/>
        <v>2.5</v>
      </c>
      <c r="L12" s="28">
        <f t="shared" si="2"/>
        <v>3.6</v>
      </c>
      <c r="M12" s="28">
        <f>Clouds[[#This Row],[Cloud 1]]</f>
        <v>52</v>
      </c>
      <c r="N12" s="28">
        <f>Clouds[[#This Row],[Cloud 2]]</f>
        <v>164</v>
      </c>
      <c r="O12" s="28">
        <f>Clouds[[#This Row],[Cloud 3]]</f>
        <v>206</v>
      </c>
      <c r="Q12" s="62" t="s">
        <v>100</v>
      </c>
      <c r="R12" s="63" t="s">
        <v>114</v>
      </c>
      <c r="S12" s="63" t="s">
        <v>127</v>
      </c>
      <c r="T12" s="64" t="s">
        <v>128</v>
      </c>
    </row>
    <row r="13" spans="1:39" x14ac:dyDescent="0.2">
      <c r="D13" s="20">
        <v>28</v>
      </c>
      <c r="E13" s="20">
        <v>182</v>
      </c>
      <c r="F13" s="65">
        <v>206</v>
      </c>
      <c r="G13" s="28">
        <f>COUNTIF(D$10:D13,D13)</f>
        <v>1</v>
      </c>
      <c r="H13" s="28">
        <f>COUNTIF(E$10:E13,E13)</f>
        <v>1</v>
      </c>
      <c r="I13" s="28">
        <f>COUNTIF(F$10:F13,F13)</f>
        <v>3</v>
      </c>
      <c r="J13" s="28">
        <f t="shared" si="0"/>
        <v>1.5</v>
      </c>
      <c r="K13" s="28">
        <f t="shared" si="1"/>
        <v>2.5</v>
      </c>
      <c r="L13" s="28">
        <f t="shared" si="2"/>
        <v>3.7</v>
      </c>
      <c r="M13" s="28">
        <f>Clouds[[#This Row],[Cloud 1]]</f>
        <v>28</v>
      </c>
      <c r="N13" s="28">
        <f>Clouds[[#This Row],[Cloud 2]]</f>
        <v>182</v>
      </c>
      <c r="O13" s="28">
        <f>Clouds[[#This Row],[Cloud 3]]</f>
        <v>206</v>
      </c>
      <c r="Q13" s="54">
        <v>0</v>
      </c>
      <c r="R13" s="28">
        <f>PERCENTILE(Clouds[Cloud 1],$Q13)</f>
        <v>1</v>
      </c>
      <c r="S13" s="28">
        <f>PERCENTILE(Clouds[Cloud 2],$Q13)</f>
        <v>102</v>
      </c>
      <c r="T13" s="28">
        <f>PERCENTILE(Clouds[Cloud 3],$Q13)</f>
        <v>204</v>
      </c>
    </row>
    <row r="14" spans="1:39" x14ac:dyDescent="0.2">
      <c r="D14" s="20">
        <v>38</v>
      </c>
      <c r="E14" s="20">
        <v>127</v>
      </c>
      <c r="F14" s="65">
        <v>208</v>
      </c>
      <c r="G14" s="28">
        <f>COUNTIF(D$10:D14,D14)</f>
        <v>1</v>
      </c>
      <c r="H14" s="28">
        <f>COUNTIF(E$10:E14,E14)</f>
        <v>1</v>
      </c>
      <c r="I14" s="28">
        <f>COUNTIF(F$10:F14,F14)</f>
        <v>1</v>
      </c>
      <c r="J14" s="28">
        <f t="shared" si="0"/>
        <v>1.5</v>
      </c>
      <c r="K14" s="28">
        <f t="shared" si="1"/>
        <v>2.5</v>
      </c>
      <c r="L14" s="28">
        <f t="shared" si="2"/>
        <v>3.5</v>
      </c>
      <c r="M14" s="28">
        <f>Clouds[[#This Row],[Cloud 1]]</f>
        <v>38</v>
      </c>
      <c r="N14" s="28">
        <f>Clouds[[#This Row],[Cloud 2]]</f>
        <v>127</v>
      </c>
      <c r="O14" s="28">
        <f>Clouds[[#This Row],[Cloud 3]]</f>
        <v>208</v>
      </c>
      <c r="Q14" s="54">
        <v>0.1</v>
      </c>
      <c r="R14" s="28">
        <f>PERCENTILE(Clouds[Cloud 1],$Q14)</f>
        <v>11.9</v>
      </c>
      <c r="S14" s="28">
        <f>PERCENTILE(Clouds[Cloud 2],$Q14)</f>
        <v>112.8</v>
      </c>
      <c r="T14" s="28">
        <f>PERCENTILE(Clouds[Cloud 3],$Q14)</f>
        <v>210.8</v>
      </c>
    </row>
    <row r="15" spans="1:39" x14ac:dyDescent="0.2">
      <c r="D15" s="20">
        <v>50</v>
      </c>
      <c r="E15" s="20">
        <v>118</v>
      </c>
      <c r="F15" s="65">
        <v>209</v>
      </c>
      <c r="G15" s="28">
        <f>COUNTIF(D$10:D15,D15)</f>
        <v>1</v>
      </c>
      <c r="H15" s="28">
        <f>COUNTIF(E$10:E15,E15)</f>
        <v>1</v>
      </c>
      <c r="I15" s="28">
        <f>COUNTIF(F$10:F15,F15)</f>
        <v>1</v>
      </c>
      <c r="J15" s="28">
        <f t="shared" si="0"/>
        <v>1.5</v>
      </c>
      <c r="K15" s="28">
        <f t="shared" si="1"/>
        <v>2.5</v>
      </c>
      <c r="L15" s="28">
        <f t="shared" si="2"/>
        <v>3.5</v>
      </c>
      <c r="M15" s="28">
        <f>Clouds[[#This Row],[Cloud 1]]</f>
        <v>50</v>
      </c>
      <c r="N15" s="28">
        <f>Clouds[[#This Row],[Cloud 2]]</f>
        <v>118</v>
      </c>
      <c r="O15" s="28">
        <f>Clouds[[#This Row],[Cloud 3]]</f>
        <v>209</v>
      </c>
      <c r="Q15" s="54">
        <v>0.25</v>
      </c>
      <c r="R15" s="28">
        <f>PERCENTILE(Clouds[Cloud 1],$Q15)</f>
        <v>20.5</v>
      </c>
      <c r="S15" s="28">
        <f>PERCENTILE(Clouds[Cloud 2],$Q15)</f>
        <v>123.75</v>
      </c>
      <c r="T15" s="28">
        <f>PERCENTILE(Clouds[Cloud 3],$Q15)</f>
        <v>223</v>
      </c>
    </row>
    <row r="16" spans="1:39" x14ac:dyDescent="0.2">
      <c r="D16" s="20">
        <v>67</v>
      </c>
      <c r="E16" s="20">
        <v>147</v>
      </c>
      <c r="F16" s="65">
        <v>211</v>
      </c>
      <c r="G16" s="28">
        <f>COUNTIF(D$10:D16,D16)</f>
        <v>1</v>
      </c>
      <c r="H16" s="28">
        <f>COUNTIF(E$10:E16,E16)</f>
        <v>1</v>
      </c>
      <c r="I16" s="28">
        <f>COUNTIF(F$10:F16,F16)</f>
        <v>1</v>
      </c>
      <c r="J16" s="28">
        <f t="shared" si="0"/>
        <v>1.5</v>
      </c>
      <c r="K16" s="28">
        <f t="shared" si="1"/>
        <v>2.5</v>
      </c>
      <c r="L16" s="28">
        <f t="shared" si="2"/>
        <v>3.5</v>
      </c>
      <c r="M16" s="28">
        <f>Clouds[[#This Row],[Cloud 1]]</f>
        <v>67</v>
      </c>
      <c r="N16" s="28">
        <f>Clouds[[#This Row],[Cloud 2]]</f>
        <v>147</v>
      </c>
      <c r="O16" s="28">
        <f>Clouds[[#This Row],[Cloud 3]]</f>
        <v>211</v>
      </c>
      <c r="Q16" s="54">
        <v>0.5</v>
      </c>
      <c r="R16" s="28">
        <f>PERCENTILE(Clouds[Cloud 1],$Q16)</f>
        <v>43.5</v>
      </c>
      <c r="S16" s="28">
        <f>PERCENTILE(Clouds[Cloud 2],$Q16)</f>
        <v>155</v>
      </c>
      <c r="T16" s="28">
        <f>PERCENTILE(Clouds[Cloud 3],$Q16)</f>
        <v>250</v>
      </c>
    </row>
    <row r="17" spans="4:20" x14ac:dyDescent="0.2">
      <c r="D17" s="20">
        <v>48</v>
      </c>
      <c r="E17" s="20">
        <v>197</v>
      </c>
      <c r="F17" s="65">
        <v>211</v>
      </c>
      <c r="G17" s="28">
        <f>COUNTIF(D$10:D17,D17)</f>
        <v>1</v>
      </c>
      <c r="H17" s="28">
        <f>COUNTIF(E$10:E17,E17)</f>
        <v>1</v>
      </c>
      <c r="I17" s="28">
        <f>COUNTIF(F$10:F17,F17)</f>
        <v>2</v>
      </c>
      <c r="J17" s="28">
        <f t="shared" si="0"/>
        <v>1.5</v>
      </c>
      <c r="K17" s="28">
        <f t="shared" si="1"/>
        <v>2.5</v>
      </c>
      <c r="L17" s="28">
        <f t="shared" si="2"/>
        <v>3.6</v>
      </c>
      <c r="M17" s="28">
        <f>Clouds[[#This Row],[Cloud 1]]</f>
        <v>48</v>
      </c>
      <c r="N17" s="28">
        <f>Clouds[[#This Row],[Cloud 2]]</f>
        <v>197</v>
      </c>
      <c r="O17" s="28">
        <f>Clouds[[#This Row],[Cloud 3]]</f>
        <v>211</v>
      </c>
      <c r="Q17" s="54">
        <v>0.75</v>
      </c>
      <c r="R17" s="28">
        <f>PERCENTILE(Clouds[Cloud 1],$Q17)</f>
        <v>64.75</v>
      </c>
      <c r="S17" s="28">
        <f>PERCENTILE(Clouds[Cloud 2],$Q17)</f>
        <v>182</v>
      </c>
      <c r="T17" s="28">
        <f>PERCENTILE(Clouds[Cloud 3],$Q17)</f>
        <v>272.5</v>
      </c>
    </row>
    <row r="18" spans="4:20" x14ac:dyDescent="0.2">
      <c r="D18" s="20">
        <v>33</v>
      </c>
      <c r="E18" s="20">
        <v>160</v>
      </c>
      <c r="F18" s="65">
        <v>213</v>
      </c>
      <c r="G18" s="28">
        <f>COUNTIF(D$10:D18,D18)</f>
        <v>1</v>
      </c>
      <c r="H18" s="28">
        <f>COUNTIF(E$10:E18,E18)</f>
        <v>1</v>
      </c>
      <c r="I18" s="28">
        <f>COUNTIF(F$10:F18,F18)</f>
        <v>1</v>
      </c>
      <c r="J18" s="28">
        <f t="shared" si="0"/>
        <v>1.5</v>
      </c>
      <c r="K18" s="28">
        <f t="shared" si="1"/>
        <v>2.5</v>
      </c>
      <c r="L18" s="28">
        <f t="shared" si="2"/>
        <v>3.5</v>
      </c>
      <c r="M18" s="28">
        <f>Clouds[[#This Row],[Cloud 1]]</f>
        <v>33</v>
      </c>
      <c r="N18" s="28">
        <f>Clouds[[#This Row],[Cloud 2]]</f>
        <v>160</v>
      </c>
      <c r="O18" s="28">
        <f>Clouds[[#This Row],[Cloud 3]]</f>
        <v>213</v>
      </c>
      <c r="Q18" s="54">
        <v>0.9</v>
      </c>
      <c r="R18" s="28">
        <f>PERCENTILE(Clouds[Cloud 1],$Q18)</f>
        <v>90</v>
      </c>
      <c r="S18" s="28">
        <f>PERCENTILE(Clouds[Cloud 2],$Q18)</f>
        <v>191.1</v>
      </c>
      <c r="T18" s="28">
        <f>PERCENTILE(Clouds[Cloud 3],$Q18)</f>
        <v>290.2</v>
      </c>
    </row>
    <row r="19" spans="4:20" x14ac:dyDescent="0.2">
      <c r="D19" s="20">
        <v>29</v>
      </c>
      <c r="E19" s="20">
        <v>107</v>
      </c>
      <c r="F19" s="65">
        <v>216</v>
      </c>
      <c r="G19" s="28">
        <f>COUNTIF(D$10:D19,D19)</f>
        <v>1</v>
      </c>
      <c r="H19" s="28">
        <f>COUNTIF(E$10:E19,E19)</f>
        <v>1</v>
      </c>
      <c r="I19" s="28">
        <f>COUNTIF(F$10:F19,F19)</f>
        <v>1</v>
      </c>
      <c r="J19" s="28">
        <f t="shared" si="0"/>
        <v>1.5</v>
      </c>
      <c r="K19" s="28">
        <f t="shared" si="1"/>
        <v>2.5</v>
      </c>
      <c r="L19" s="28">
        <f t="shared" si="2"/>
        <v>3.5</v>
      </c>
      <c r="M19" s="28">
        <f>Clouds[[#This Row],[Cloud 1]]</f>
        <v>29</v>
      </c>
      <c r="N19" s="28">
        <f>Clouds[[#This Row],[Cloud 2]]</f>
        <v>107</v>
      </c>
      <c r="O19" s="28">
        <f>Clouds[[#This Row],[Cloud 3]]</f>
        <v>216</v>
      </c>
      <c r="Q19" s="55">
        <v>1</v>
      </c>
      <c r="R19" s="28">
        <f>PERCENTILE(Clouds[Cloud 1],$Q19)</f>
        <v>99</v>
      </c>
      <c r="S19" s="28">
        <f>PERCENTILE(Clouds[Cloud 2],$Q19)</f>
        <v>200</v>
      </c>
      <c r="T19" s="28">
        <f>PERCENTILE(Clouds[Cloud 3],$Q19)</f>
        <v>298</v>
      </c>
    </row>
    <row r="20" spans="4:20" x14ac:dyDescent="0.2">
      <c r="D20" s="20">
        <v>34</v>
      </c>
      <c r="E20" s="20">
        <v>167</v>
      </c>
      <c r="F20" s="65">
        <v>216</v>
      </c>
      <c r="G20" s="28">
        <f>COUNTIF(D$10:D20,D20)</f>
        <v>1</v>
      </c>
      <c r="H20" s="28">
        <f>COUNTIF(E$10:E20,E20)</f>
        <v>1</v>
      </c>
      <c r="I20" s="28">
        <f>COUNTIF(F$10:F20,F20)</f>
        <v>2</v>
      </c>
      <c r="J20" s="28">
        <f t="shared" si="0"/>
        <v>1.5</v>
      </c>
      <c r="K20" s="28">
        <f t="shared" si="1"/>
        <v>2.5</v>
      </c>
      <c r="L20" s="28">
        <f t="shared" si="2"/>
        <v>3.6</v>
      </c>
      <c r="M20" s="28">
        <f>Clouds[[#This Row],[Cloud 1]]</f>
        <v>34</v>
      </c>
      <c r="N20" s="28">
        <f>Clouds[[#This Row],[Cloud 2]]</f>
        <v>167</v>
      </c>
      <c r="O20" s="28">
        <f>Clouds[[#This Row],[Cloud 3]]</f>
        <v>216</v>
      </c>
    </row>
    <row r="21" spans="4:20" x14ac:dyDescent="0.2">
      <c r="D21" s="20">
        <v>68</v>
      </c>
      <c r="E21" s="20">
        <v>153</v>
      </c>
      <c r="F21" s="65">
        <v>217</v>
      </c>
      <c r="G21" s="28">
        <f>COUNTIF(D$10:D21,D21)</f>
        <v>1</v>
      </c>
      <c r="H21" s="28">
        <f>COUNTIF(E$10:E21,E21)</f>
        <v>1</v>
      </c>
      <c r="I21" s="28">
        <f>COUNTIF(F$10:F21,F21)</f>
        <v>1</v>
      </c>
      <c r="J21" s="28">
        <f t="shared" si="0"/>
        <v>1.5</v>
      </c>
      <c r="K21" s="28">
        <f t="shared" si="1"/>
        <v>2.5</v>
      </c>
      <c r="L21" s="28">
        <f t="shared" si="2"/>
        <v>3.5</v>
      </c>
      <c r="M21" s="28">
        <f>Clouds[[#This Row],[Cloud 1]]</f>
        <v>68</v>
      </c>
      <c r="N21" s="28">
        <f>Clouds[[#This Row],[Cloud 2]]</f>
        <v>153</v>
      </c>
      <c r="O21" s="28">
        <f>Clouds[[#This Row],[Cloud 3]]</f>
        <v>217</v>
      </c>
      <c r="Q21" s="61" t="s">
        <v>101</v>
      </c>
      <c r="R21" s="61" t="s">
        <v>115</v>
      </c>
      <c r="S21" s="61" t="s">
        <v>129</v>
      </c>
      <c r="T21" s="61" t="s">
        <v>130</v>
      </c>
    </row>
    <row r="22" spans="4:20" x14ac:dyDescent="0.2">
      <c r="D22" s="20">
        <v>62</v>
      </c>
      <c r="E22" s="20">
        <v>184</v>
      </c>
      <c r="F22" s="65">
        <v>217</v>
      </c>
      <c r="G22" s="28">
        <f>COUNTIF(D$10:D22,D22)</f>
        <v>1</v>
      </c>
      <c r="H22" s="28">
        <f>COUNTIF(E$10:E22,E22)</f>
        <v>1</v>
      </c>
      <c r="I22" s="28">
        <f>COUNTIF(F$10:F22,F22)</f>
        <v>2</v>
      </c>
      <c r="J22" s="28">
        <f t="shared" si="0"/>
        <v>1.5</v>
      </c>
      <c r="K22" s="28">
        <f t="shared" si="1"/>
        <v>2.5</v>
      </c>
      <c r="L22" s="28">
        <f t="shared" si="2"/>
        <v>3.6</v>
      </c>
      <c r="M22" s="28">
        <f>Clouds[[#This Row],[Cloud 1]]</f>
        <v>62</v>
      </c>
      <c r="N22" s="28">
        <f>Clouds[[#This Row],[Cloud 2]]</f>
        <v>184</v>
      </c>
      <c r="O22" s="28">
        <f>Clouds[[#This Row],[Cloud 3]]</f>
        <v>217</v>
      </c>
      <c r="Q22" s="59" t="s">
        <v>102</v>
      </c>
      <c r="R22" s="28">
        <f>R15</f>
        <v>20.5</v>
      </c>
      <c r="S22" s="28">
        <f t="shared" ref="S22:T22" si="3">S15</f>
        <v>123.75</v>
      </c>
      <c r="T22" s="28">
        <f t="shared" si="3"/>
        <v>223</v>
      </c>
    </row>
    <row r="23" spans="4:20" x14ac:dyDescent="0.2">
      <c r="D23" s="20">
        <v>64</v>
      </c>
      <c r="E23" s="20">
        <v>196</v>
      </c>
      <c r="F23" s="65">
        <v>218</v>
      </c>
      <c r="G23" s="28">
        <f>COUNTIF(D$10:D23,D23)</f>
        <v>1</v>
      </c>
      <c r="H23" s="28">
        <f>COUNTIF(E$10:E23,E23)</f>
        <v>1</v>
      </c>
      <c r="I23" s="28">
        <f>COUNTIF(F$10:F23,F23)</f>
        <v>1</v>
      </c>
      <c r="J23" s="28">
        <f t="shared" si="0"/>
        <v>1.5</v>
      </c>
      <c r="K23" s="28">
        <f t="shared" si="1"/>
        <v>2.5</v>
      </c>
      <c r="L23" s="28">
        <f t="shared" si="2"/>
        <v>3.5</v>
      </c>
      <c r="M23" s="28">
        <f>Clouds[[#This Row],[Cloud 1]]</f>
        <v>64</v>
      </c>
      <c r="N23" s="28">
        <f>Clouds[[#This Row],[Cloud 2]]</f>
        <v>196</v>
      </c>
      <c r="O23" s="28">
        <f>Clouds[[#This Row],[Cloud 3]]</f>
        <v>218</v>
      </c>
      <c r="Q23" s="59" t="s">
        <v>103</v>
      </c>
      <c r="R23" s="28">
        <f>R16-R15</f>
        <v>23</v>
      </c>
      <c r="S23" s="28">
        <f t="shared" ref="S23:T23" si="4">S16-S15</f>
        <v>31.25</v>
      </c>
      <c r="T23" s="28">
        <f t="shared" si="4"/>
        <v>27</v>
      </c>
    </row>
    <row r="24" spans="4:20" x14ac:dyDescent="0.2">
      <c r="D24" s="20">
        <v>92</v>
      </c>
      <c r="E24" s="20">
        <v>102</v>
      </c>
      <c r="F24" s="65">
        <v>223</v>
      </c>
      <c r="G24" s="28">
        <f>COUNTIF(D$10:D24,D24)</f>
        <v>1</v>
      </c>
      <c r="H24" s="28">
        <f>COUNTIF(E$10:E24,E24)</f>
        <v>1</v>
      </c>
      <c r="I24" s="28">
        <f>COUNTIF(F$10:F24,F24)</f>
        <v>1</v>
      </c>
      <c r="J24" s="28">
        <f t="shared" si="0"/>
        <v>1.5</v>
      </c>
      <c r="K24" s="28">
        <f t="shared" si="1"/>
        <v>2.5</v>
      </c>
      <c r="L24" s="28">
        <f t="shared" si="2"/>
        <v>3.5</v>
      </c>
      <c r="M24" s="28">
        <f>Clouds[[#This Row],[Cloud 1]]</f>
        <v>92</v>
      </c>
      <c r="N24" s="28">
        <f>Clouds[[#This Row],[Cloud 2]]</f>
        <v>102</v>
      </c>
      <c r="O24" s="28">
        <f>Clouds[[#This Row],[Cloud 3]]</f>
        <v>223</v>
      </c>
      <c r="Q24" s="59" t="s">
        <v>104</v>
      </c>
      <c r="R24" s="28">
        <f>R17-R16</f>
        <v>21.25</v>
      </c>
      <c r="S24" s="28">
        <f t="shared" ref="S24:T24" si="5">S17-S16</f>
        <v>27</v>
      </c>
      <c r="T24" s="28">
        <f t="shared" si="5"/>
        <v>22.5</v>
      </c>
    </row>
    <row r="25" spans="4:20" x14ac:dyDescent="0.2">
      <c r="D25" s="20">
        <v>8</v>
      </c>
      <c r="E25" s="20">
        <v>118</v>
      </c>
      <c r="F25" s="65">
        <v>223</v>
      </c>
      <c r="G25" s="28">
        <f>COUNTIF(D$10:D25,D25)</f>
        <v>1</v>
      </c>
      <c r="H25" s="28">
        <f>COUNTIF(E$10:E25,E25)</f>
        <v>2</v>
      </c>
      <c r="I25" s="28">
        <f>COUNTIF(F$10:F25,F25)</f>
        <v>2</v>
      </c>
      <c r="J25" s="28">
        <f t="shared" si="0"/>
        <v>1.5</v>
      </c>
      <c r="K25" s="28">
        <f t="shared" si="1"/>
        <v>2.6</v>
      </c>
      <c r="L25" s="28">
        <f t="shared" si="2"/>
        <v>3.6</v>
      </c>
      <c r="M25" s="28">
        <f>Clouds[[#This Row],[Cloud 1]]</f>
        <v>8</v>
      </c>
      <c r="N25" s="28">
        <f>Clouds[[#This Row],[Cloud 2]]</f>
        <v>118</v>
      </c>
      <c r="O25" s="28">
        <f>Clouds[[#This Row],[Cloud 3]]</f>
        <v>223</v>
      </c>
    </row>
    <row r="26" spans="4:20" x14ac:dyDescent="0.2">
      <c r="D26" s="20">
        <v>60</v>
      </c>
      <c r="E26" s="20">
        <v>191</v>
      </c>
      <c r="F26" s="65">
        <v>224</v>
      </c>
      <c r="G26" s="28">
        <f>COUNTIF(D$10:D26,D26)</f>
        <v>1</v>
      </c>
      <c r="H26" s="28">
        <f>COUNTIF(E$10:E26,E26)</f>
        <v>1</v>
      </c>
      <c r="I26" s="28">
        <f>COUNTIF(F$10:F26,F26)</f>
        <v>1</v>
      </c>
      <c r="J26" s="28">
        <f t="shared" si="0"/>
        <v>1.5</v>
      </c>
      <c r="K26" s="28">
        <f t="shared" si="1"/>
        <v>2.5</v>
      </c>
      <c r="L26" s="28">
        <f t="shared" si="2"/>
        <v>3.5</v>
      </c>
      <c r="M26" s="28">
        <f>Clouds[[#This Row],[Cloud 1]]</f>
        <v>60</v>
      </c>
      <c r="N26" s="28">
        <f>Clouds[[#This Row],[Cloud 2]]</f>
        <v>191</v>
      </c>
      <c r="O26" s="28">
        <f>Clouds[[#This Row],[Cloud 3]]</f>
        <v>224</v>
      </c>
      <c r="Q26" s="61" t="s">
        <v>106</v>
      </c>
      <c r="R26" s="58">
        <v>1</v>
      </c>
      <c r="S26" s="58">
        <v>2</v>
      </c>
      <c r="T26" s="58">
        <v>3</v>
      </c>
    </row>
    <row r="27" spans="4:20" x14ac:dyDescent="0.2">
      <c r="D27" s="20">
        <v>12</v>
      </c>
      <c r="E27" s="20">
        <v>144</v>
      </c>
      <c r="F27" s="65">
        <v>225</v>
      </c>
      <c r="G27" s="28">
        <f>COUNTIF(D$10:D27,D27)</f>
        <v>2</v>
      </c>
      <c r="H27" s="28">
        <f>COUNTIF(E$10:E27,E27)</f>
        <v>1</v>
      </c>
      <c r="I27" s="28">
        <f>COUNTIF(F$10:F27,F27)</f>
        <v>1</v>
      </c>
      <c r="J27" s="28">
        <f t="shared" si="0"/>
        <v>1.6</v>
      </c>
      <c r="K27" s="28">
        <f t="shared" si="1"/>
        <v>2.5</v>
      </c>
      <c r="L27" s="28">
        <f t="shared" si="2"/>
        <v>3.5</v>
      </c>
      <c r="M27" s="28">
        <f>Clouds[[#This Row],[Cloud 1]]</f>
        <v>12</v>
      </c>
      <c r="N27" s="28">
        <f>Clouds[[#This Row],[Cloud 2]]</f>
        <v>144</v>
      </c>
      <c r="O27" s="28">
        <f>Clouds[[#This Row],[Cloud 3]]</f>
        <v>225</v>
      </c>
      <c r="Q27" s="61" t="s">
        <v>105</v>
      </c>
      <c r="R27" s="28">
        <f>R16</f>
        <v>43.5</v>
      </c>
      <c r="S27" s="28">
        <f t="shared" ref="S27:T27" si="6">S16</f>
        <v>155</v>
      </c>
      <c r="T27" s="28">
        <f t="shared" si="6"/>
        <v>250</v>
      </c>
    </row>
    <row r="28" spans="4:20" x14ac:dyDescent="0.2">
      <c r="D28" s="20">
        <v>48</v>
      </c>
      <c r="E28" s="20">
        <v>174</v>
      </c>
      <c r="F28" s="65">
        <v>225</v>
      </c>
      <c r="G28" s="28">
        <f>COUNTIF(D$10:D28,D28)</f>
        <v>2</v>
      </c>
      <c r="H28" s="28">
        <f>COUNTIF(E$10:E28,E28)</f>
        <v>1</v>
      </c>
      <c r="I28" s="28">
        <f>COUNTIF(F$10:F28,F28)</f>
        <v>2</v>
      </c>
      <c r="J28" s="28">
        <f t="shared" si="0"/>
        <v>1.7000000000000002</v>
      </c>
      <c r="K28" s="28">
        <f t="shared" si="1"/>
        <v>2.5</v>
      </c>
      <c r="L28" s="28">
        <f t="shared" si="2"/>
        <v>3.6</v>
      </c>
      <c r="M28" s="28">
        <f>Clouds[[#This Row],[Cloud 1]]</f>
        <v>48</v>
      </c>
      <c r="N28" s="28">
        <f>Clouds[[#This Row],[Cloud 2]]</f>
        <v>174</v>
      </c>
      <c r="O28" s="28">
        <f>Clouds[[#This Row],[Cloud 3]]</f>
        <v>225</v>
      </c>
    </row>
    <row r="29" spans="4:20" x14ac:dyDescent="0.2">
      <c r="D29" s="20">
        <v>31</v>
      </c>
      <c r="E29" s="20">
        <v>111</v>
      </c>
      <c r="F29" s="65">
        <v>226</v>
      </c>
      <c r="G29" s="28">
        <f>COUNTIF(D$10:D29,D29)</f>
        <v>1</v>
      </c>
      <c r="H29" s="28">
        <f>COUNTIF(E$10:E29,E29)</f>
        <v>1</v>
      </c>
      <c r="I29" s="28">
        <f>COUNTIF(F$10:F29,F29)</f>
        <v>1</v>
      </c>
      <c r="J29" s="28">
        <f t="shared" si="0"/>
        <v>1.5</v>
      </c>
      <c r="K29" s="28">
        <f t="shared" si="1"/>
        <v>2.5</v>
      </c>
      <c r="L29" s="28">
        <f t="shared" si="2"/>
        <v>3.5</v>
      </c>
      <c r="M29" s="28">
        <f>Clouds[[#This Row],[Cloud 1]]</f>
        <v>31</v>
      </c>
      <c r="N29" s="28">
        <f>Clouds[[#This Row],[Cloud 2]]</f>
        <v>111</v>
      </c>
      <c r="O29" s="28">
        <f>Clouds[[#This Row],[Cloud 3]]</f>
        <v>226</v>
      </c>
      <c r="Q29" s="60" t="s">
        <v>116</v>
      </c>
      <c r="R29" s="13"/>
      <c r="S29" s="13"/>
      <c r="T29" s="13"/>
    </row>
    <row r="30" spans="4:20" x14ac:dyDescent="0.2">
      <c r="D30" s="20">
        <v>18</v>
      </c>
      <c r="E30" s="20">
        <v>175</v>
      </c>
      <c r="F30" s="65">
        <v>226</v>
      </c>
      <c r="G30" s="28">
        <f>COUNTIF(D$10:D30,D30)</f>
        <v>1</v>
      </c>
      <c r="H30" s="28">
        <f>COUNTIF(E$10:E30,E30)</f>
        <v>1</v>
      </c>
      <c r="I30" s="28">
        <f>COUNTIF(F$10:F30,F30)</f>
        <v>2</v>
      </c>
      <c r="J30" s="28">
        <f t="shared" si="0"/>
        <v>1.5</v>
      </c>
      <c r="K30" s="28">
        <f t="shared" si="1"/>
        <v>2.5</v>
      </c>
      <c r="L30" s="28">
        <f t="shared" si="2"/>
        <v>3.6</v>
      </c>
      <c r="M30" s="28">
        <f>Clouds[[#This Row],[Cloud 1]]</f>
        <v>18</v>
      </c>
      <c r="N30" s="28">
        <f>Clouds[[#This Row],[Cloud 2]]</f>
        <v>175</v>
      </c>
      <c r="O30" s="28">
        <f>Clouds[[#This Row],[Cloud 3]]</f>
        <v>226</v>
      </c>
      <c r="Q30" s="59" t="s">
        <v>108</v>
      </c>
      <c r="R30" s="28">
        <f>-R16+R18</f>
        <v>46.5</v>
      </c>
      <c r="S30" s="28">
        <f t="shared" ref="S30:T30" si="7">-S16+S18</f>
        <v>36.099999999999994</v>
      </c>
      <c r="T30" s="28">
        <f t="shared" si="7"/>
        <v>40.199999999999989</v>
      </c>
    </row>
    <row r="31" spans="4:20" x14ac:dyDescent="0.2">
      <c r="D31" s="20">
        <v>56</v>
      </c>
      <c r="E31" s="20">
        <v>116</v>
      </c>
      <c r="F31" s="65">
        <v>229</v>
      </c>
      <c r="G31" s="28">
        <f>COUNTIF(D$10:D31,D31)</f>
        <v>1</v>
      </c>
      <c r="H31" s="28">
        <f>COUNTIF(E$10:E31,E31)</f>
        <v>1</v>
      </c>
      <c r="I31" s="28">
        <f>COUNTIF(F$10:F31,F31)</f>
        <v>1</v>
      </c>
      <c r="J31" s="28">
        <f t="shared" si="0"/>
        <v>1.5</v>
      </c>
      <c r="K31" s="28">
        <f t="shared" si="1"/>
        <v>2.5</v>
      </c>
      <c r="L31" s="28">
        <f t="shared" si="2"/>
        <v>3.5</v>
      </c>
      <c r="M31" s="28">
        <f>Clouds[[#This Row],[Cloud 1]]</f>
        <v>56</v>
      </c>
      <c r="N31" s="28">
        <f>Clouds[[#This Row],[Cloud 2]]</f>
        <v>116</v>
      </c>
      <c r="O31" s="28">
        <f>Clouds[[#This Row],[Cloud 3]]</f>
        <v>229</v>
      </c>
      <c r="Q31" s="59" t="s">
        <v>107</v>
      </c>
      <c r="R31" s="28">
        <f>R16-R14</f>
        <v>31.6</v>
      </c>
      <c r="S31" s="28">
        <f t="shared" ref="S31:T31" si="8">S16-S14</f>
        <v>42.2</v>
      </c>
      <c r="T31" s="28">
        <f t="shared" si="8"/>
        <v>39.199999999999989</v>
      </c>
    </row>
    <row r="32" spans="4:20" x14ac:dyDescent="0.2">
      <c r="D32" s="20">
        <v>90</v>
      </c>
      <c r="E32" s="20">
        <v>143</v>
      </c>
      <c r="F32" s="65">
        <v>230</v>
      </c>
      <c r="G32" s="28">
        <f>COUNTIF(D$10:D32,D32)</f>
        <v>1</v>
      </c>
      <c r="H32" s="28">
        <f>COUNTIF(E$10:E32,E32)</f>
        <v>1</v>
      </c>
      <c r="I32" s="28">
        <f>COUNTIF(F$10:F32,F32)</f>
        <v>1</v>
      </c>
      <c r="J32" s="28">
        <f t="shared" si="0"/>
        <v>1.5</v>
      </c>
      <c r="K32" s="28">
        <f t="shared" si="1"/>
        <v>2.5</v>
      </c>
      <c r="L32" s="28">
        <f t="shared" si="2"/>
        <v>3.5</v>
      </c>
      <c r="M32" s="28">
        <f>Clouds[[#This Row],[Cloud 1]]</f>
        <v>90</v>
      </c>
      <c r="N32" s="28">
        <f>Clouds[[#This Row],[Cloud 2]]</f>
        <v>143</v>
      </c>
      <c r="O32" s="28">
        <f>Clouds[[#This Row],[Cloud 3]]</f>
        <v>230</v>
      </c>
    </row>
    <row r="33" spans="4:15" x14ac:dyDescent="0.2">
      <c r="D33" s="20">
        <v>10</v>
      </c>
      <c r="E33" s="20">
        <v>116</v>
      </c>
      <c r="F33" s="65">
        <v>237</v>
      </c>
      <c r="G33" s="28">
        <f>COUNTIF(D$10:D33,D33)</f>
        <v>1</v>
      </c>
      <c r="H33" s="28">
        <f>COUNTIF(E$10:E33,E33)</f>
        <v>2</v>
      </c>
      <c r="I33" s="28">
        <f>COUNTIF(F$10:F33,F33)</f>
        <v>1</v>
      </c>
      <c r="J33" s="28">
        <f t="shared" si="0"/>
        <v>1.5</v>
      </c>
      <c r="K33" s="28">
        <f t="shared" si="1"/>
        <v>2.6</v>
      </c>
      <c r="L33" s="28">
        <f t="shared" si="2"/>
        <v>3.5</v>
      </c>
      <c r="M33" s="28">
        <f>Clouds[[#This Row],[Cloud 1]]</f>
        <v>10</v>
      </c>
      <c r="N33" s="28">
        <f>Clouds[[#This Row],[Cloud 2]]</f>
        <v>116</v>
      </c>
      <c r="O33" s="28">
        <f>Clouds[[#This Row],[Cloud 3]]</f>
        <v>237</v>
      </c>
    </row>
    <row r="34" spans="4:15" x14ac:dyDescent="0.2">
      <c r="D34" s="20">
        <v>9</v>
      </c>
      <c r="E34" s="20">
        <v>168</v>
      </c>
      <c r="F34" s="65">
        <v>240</v>
      </c>
      <c r="G34" s="28">
        <f>COUNTIF(D$10:D34,D34)</f>
        <v>1</v>
      </c>
      <c r="H34" s="28">
        <f>COUNTIF(E$10:E34,E34)</f>
        <v>1</v>
      </c>
      <c r="I34" s="28">
        <f>COUNTIF(F$10:F34,F34)</f>
        <v>1</v>
      </c>
      <c r="J34" s="28">
        <f t="shared" si="0"/>
        <v>1.5</v>
      </c>
      <c r="K34" s="28">
        <f t="shared" si="1"/>
        <v>2.5</v>
      </c>
      <c r="L34" s="28">
        <f t="shared" si="2"/>
        <v>3.5</v>
      </c>
      <c r="M34" s="28">
        <f>Clouds[[#This Row],[Cloud 1]]</f>
        <v>9</v>
      </c>
      <c r="N34" s="28">
        <f>Clouds[[#This Row],[Cloud 2]]</f>
        <v>168</v>
      </c>
      <c r="O34" s="28">
        <f>Clouds[[#This Row],[Cloud 3]]</f>
        <v>240</v>
      </c>
    </row>
    <row r="35" spans="4:15" x14ac:dyDescent="0.2">
      <c r="D35" s="20">
        <v>92</v>
      </c>
      <c r="E35" s="20">
        <v>196</v>
      </c>
      <c r="F35" s="65">
        <v>240</v>
      </c>
      <c r="G35" s="28">
        <f>COUNTIF(D$10:D35,D35)</f>
        <v>2</v>
      </c>
      <c r="H35" s="28">
        <f>COUNTIF(E$10:E35,E35)</f>
        <v>2</v>
      </c>
      <c r="I35" s="28">
        <f>COUNTIF(F$10:F35,F35)</f>
        <v>2</v>
      </c>
      <c r="J35" s="28">
        <f t="shared" si="0"/>
        <v>1.6</v>
      </c>
      <c r="K35" s="28">
        <f t="shared" si="1"/>
        <v>2.6</v>
      </c>
      <c r="L35" s="28">
        <f t="shared" si="2"/>
        <v>3.6</v>
      </c>
      <c r="M35" s="28">
        <f>Clouds[[#This Row],[Cloud 1]]</f>
        <v>92</v>
      </c>
      <c r="N35" s="28">
        <f>Clouds[[#This Row],[Cloud 2]]</f>
        <v>196</v>
      </c>
      <c r="O35" s="28">
        <f>Clouds[[#This Row],[Cloud 3]]</f>
        <v>240</v>
      </c>
    </row>
    <row r="36" spans="4:15" x14ac:dyDescent="0.2">
      <c r="D36" s="20">
        <v>31</v>
      </c>
      <c r="E36" s="20">
        <v>105</v>
      </c>
      <c r="F36" s="65">
        <v>241</v>
      </c>
      <c r="G36" s="28">
        <f>COUNTIF(D$10:D36,D36)</f>
        <v>2</v>
      </c>
      <c r="H36" s="28">
        <f>COUNTIF(E$10:E36,E36)</f>
        <v>1</v>
      </c>
      <c r="I36" s="28">
        <f>COUNTIF(F$10:F36,F36)</f>
        <v>1</v>
      </c>
      <c r="J36" s="28">
        <f t="shared" si="0"/>
        <v>1.7000000000000002</v>
      </c>
      <c r="K36" s="28">
        <f t="shared" si="1"/>
        <v>2.5</v>
      </c>
      <c r="L36" s="28">
        <f t="shared" si="2"/>
        <v>3.5</v>
      </c>
      <c r="M36" s="28">
        <f>Clouds[[#This Row],[Cloud 1]]</f>
        <v>31</v>
      </c>
      <c r="N36" s="28">
        <f>Clouds[[#This Row],[Cloud 2]]</f>
        <v>105</v>
      </c>
      <c r="O36" s="28">
        <f>Clouds[[#This Row],[Cloud 3]]</f>
        <v>241</v>
      </c>
    </row>
    <row r="37" spans="4:15" x14ac:dyDescent="0.2">
      <c r="D37" s="20">
        <v>13</v>
      </c>
      <c r="E37" s="20">
        <v>124</v>
      </c>
      <c r="F37" s="65">
        <v>242</v>
      </c>
      <c r="G37" s="28">
        <f>COUNTIF(D$10:D37,D37)</f>
        <v>1</v>
      </c>
      <c r="H37" s="28">
        <f>COUNTIF(E$10:E37,E37)</f>
        <v>1</v>
      </c>
      <c r="I37" s="28">
        <f>COUNTIF(F$10:F37,F37)</f>
        <v>1</v>
      </c>
      <c r="J37" s="28">
        <f t="shared" si="0"/>
        <v>1.5</v>
      </c>
      <c r="K37" s="28">
        <f t="shared" si="1"/>
        <v>2.5</v>
      </c>
      <c r="L37" s="28">
        <f t="shared" si="2"/>
        <v>3.5</v>
      </c>
      <c r="M37" s="28">
        <f>Clouds[[#This Row],[Cloud 1]]</f>
        <v>13</v>
      </c>
      <c r="N37" s="28">
        <f>Clouds[[#This Row],[Cloud 2]]</f>
        <v>124</v>
      </c>
      <c r="O37" s="28">
        <f>Clouds[[#This Row],[Cloud 3]]</f>
        <v>242</v>
      </c>
    </row>
    <row r="38" spans="4:15" x14ac:dyDescent="0.2">
      <c r="D38" s="20">
        <v>93</v>
      </c>
      <c r="E38" s="20">
        <v>150</v>
      </c>
      <c r="F38" s="65">
        <v>248</v>
      </c>
      <c r="G38" s="28">
        <f>COUNTIF(D$10:D38,D38)</f>
        <v>1</v>
      </c>
      <c r="H38" s="28">
        <f>COUNTIF(E$10:E38,E38)</f>
        <v>1</v>
      </c>
      <c r="I38" s="28">
        <f>COUNTIF(F$10:F38,F38)</f>
        <v>1</v>
      </c>
      <c r="J38" s="28">
        <f t="shared" si="0"/>
        <v>1.5</v>
      </c>
      <c r="K38" s="28">
        <f t="shared" si="1"/>
        <v>2.5</v>
      </c>
      <c r="L38" s="28">
        <f t="shared" si="2"/>
        <v>3.5</v>
      </c>
      <c r="M38" s="28">
        <f>Clouds[[#This Row],[Cloud 1]]</f>
        <v>93</v>
      </c>
      <c r="N38" s="28">
        <f>Clouds[[#This Row],[Cloud 2]]</f>
        <v>150</v>
      </c>
      <c r="O38" s="28">
        <f>Clouds[[#This Row],[Cloud 3]]</f>
        <v>248</v>
      </c>
    </row>
    <row r="39" spans="4:15" x14ac:dyDescent="0.2">
      <c r="D39" s="20">
        <v>95</v>
      </c>
      <c r="E39" s="20">
        <v>182</v>
      </c>
      <c r="F39" s="65">
        <v>250</v>
      </c>
      <c r="G39" s="28">
        <f>COUNTIF(D$10:D39,D39)</f>
        <v>1</v>
      </c>
      <c r="H39" s="28">
        <f>COUNTIF(E$10:E39,E39)</f>
        <v>2</v>
      </c>
      <c r="I39" s="28">
        <f>COUNTIF(F$10:F39,F39)</f>
        <v>1</v>
      </c>
      <c r="J39" s="28">
        <f t="shared" si="0"/>
        <v>1.5</v>
      </c>
      <c r="K39" s="28">
        <f t="shared" si="1"/>
        <v>2.6</v>
      </c>
      <c r="L39" s="28">
        <f t="shared" si="2"/>
        <v>3.5</v>
      </c>
      <c r="M39" s="28">
        <f>Clouds[[#This Row],[Cloud 1]]</f>
        <v>95</v>
      </c>
      <c r="N39" s="28">
        <f>Clouds[[#This Row],[Cloud 2]]</f>
        <v>182</v>
      </c>
      <c r="O39" s="28">
        <f>Clouds[[#This Row],[Cloud 3]]</f>
        <v>250</v>
      </c>
    </row>
    <row r="40" spans="4:15" x14ac:dyDescent="0.2">
      <c r="D40" s="20">
        <v>11</v>
      </c>
      <c r="E40" s="20">
        <v>186</v>
      </c>
      <c r="F40" s="65">
        <v>250</v>
      </c>
      <c r="G40" s="28">
        <f>COUNTIF(D$10:D40,D40)</f>
        <v>1</v>
      </c>
      <c r="H40" s="28">
        <f>COUNTIF(E$10:E40,E40)</f>
        <v>1</v>
      </c>
      <c r="I40" s="28">
        <f>COUNTIF(F$10:F40,F40)</f>
        <v>2</v>
      </c>
      <c r="J40" s="28">
        <f t="shared" si="0"/>
        <v>1.5</v>
      </c>
      <c r="K40" s="28">
        <f t="shared" si="1"/>
        <v>2.5</v>
      </c>
      <c r="L40" s="28">
        <f t="shared" si="2"/>
        <v>3.6</v>
      </c>
      <c r="M40" s="28">
        <f>Clouds[[#This Row],[Cloud 1]]</f>
        <v>11</v>
      </c>
      <c r="N40" s="28">
        <f>Clouds[[#This Row],[Cloud 2]]</f>
        <v>186</v>
      </c>
      <c r="O40" s="28">
        <f>Clouds[[#This Row],[Cloud 3]]</f>
        <v>250</v>
      </c>
    </row>
    <row r="41" spans="4:15" x14ac:dyDescent="0.2">
      <c r="D41" s="20">
        <v>27</v>
      </c>
      <c r="E41" s="20">
        <v>182</v>
      </c>
      <c r="F41" s="65">
        <v>251</v>
      </c>
      <c r="G41" s="28">
        <f>COUNTIF(D$10:D41,D41)</f>
        <v>1</v>
      </c>
      <c r="H41" s="28">
        <f>COUNTIF(E$10:E41,E41)</f>
        <v>3</v>
      </c>
      <c r="I41" s="28">
        <f>COUNTIF(F$10:F41,F41)</f>
        <v>1</v>
      </c>
      <c r="J41" s="28">
        <f t="shared" si="0"/>
        <v>1.5</v>
      </c>
      <c r="K41" s="28">
        <f t="shared" si="1"/>
        <v>2.6</v>
      </c>
      <c r="L41" s="28">
        <f t="shared" si="2"/>
        <v>3.5</v>
      </c>
      <c r="M41" s="28">
        <f>Clouds[[#This Row],[Cloud 1]]</f>
        <v>27</v>
      </c>
      <c r="N41" s="28">
        <f>Clouds[[#This Row],[Cloud 2]]</f>
        <v>182</v>
      </c>
      <c r="O41" s="28">
        <f>Clouds[[#This Row],[Cloud 3]]</f>
        <v>251</v>
      </c>
    </row>
    <row r="42" spans="4:15" x14ac:dyDescent="0.2">
      <c r="D42" s="20">
        <v>31</v>
      </c>
      <c r="E42" s="20">
        <v>149</v>
      </c>
      <c r="F42" s="65">
        <v>252</v>
      </c>
      <c r="G42" s="28">
        <f>COUNTIF(D$10:D42,D42)</f>
        <v>3</v>
      </c>
      <c r="H42" s="28">
        <f>COUNTIF(E$10:E42,E42)</f>
        <v>2</v>
      </c>
      <c r="I42" s="28">
        <f>COUNTIF(F$10:F42,F42)</f>
        <v>1</v>
      </c>
      <c r="J42" s="28">
        <f t="shared" ref="J42:J69" si="9">IF(G42=1,R$9,J41+R$10)</f>
        <v>1.6</v>
      </c>
      <c r="K42" s="28">
        <f t="shared" ref="K42:K69" si="10">IF(H42=1,S$9,K41+S$10)</f>
        <v>2.7</v>
      </c>
      <c r="L42" s="28">
        <f t="shared" ref="L42:L69" si="11">IF(I42=1,T$9,L41+T$10)</f>
        <v>3.5</v>
      </c>
      <c r="M42" s="28">
        <f>Clouds[[#This Row],[Cloud 1]]</f>
        <v>31</v>
      </c>
      <c r="N42" s="28">
        <f>Clouds[[#This Row],[Cloud 2]]</f>
        <v>149</v>
      </c>
      <c r="O42" s="28">
        <f>Clouds[[#This Row],[Cloud 3]]</f>
        <v>252</v>
      </c>
    </row>
    <row r="43" spans="4:15" x14ac:dyDescent="0.2">
      <c r="D43" s="20">
        <v>67</v>
      </c>
      <c r="E43" s="20">
        <v>198</v>
      </c>
      <c r="F43" s="65">
        <v>252</v>
      </c>
      <c r="G43" s="28">
        <f>COUNTIF(D$10:D43,D43)</f>
        <v>2</v>
      </c>
      <c r="H43" s="28">
        <f>COUNTIF(E$10:E43,E43)</f>
        <v>1</v>
      </c>
      <c r="I43" s="28">
        <f>COUNTIF(F$10:F43,F43)</f>
        <v>2</v>
      </c>
      <c r="J43" s="28">
        <f t="shared" si="9"/>
        <v>1.7000000000000002</v>
      </c>
      <c r="K43" s="28">
        <f t="shared" si="10"/>
        <v>2.5</v>
      </c>
      <c r="L43" s="28">
        <f t="shared" si="11"/>
        <v>3.6</v>
      </c>
      <c r="M43" s="28">
        <f>Clouds[[#This Row],[Cloud 1]]</f>
        <v>67</v>
      </c>
      <c r="N43" s="28">
        <f>Clouds[[#This Row],[Cloud 2]]</f>
        <v>198</v>
      </c>
      <c r="O43" s="28">
        <f>Clouds[[#This Row],[Cloud 3]]</f>
        <v>252</v>
      </c>
    </row>
    <row r="44" spans="4:15" x14ac:dyDescent="0.2">
      <c r="D44" s="20">
        <v>68</v>
      </c>
      <c r="E44" s="20">
        <v>138</v>
      </c>
      <c r="F44" s="65">
        <v>253</v>
      </c>
      <c r="G44" s="28">
        <f>COUNTIF(D$10:D44,D44)</f>
        <v>2</v>
      </c>
      <c r="H44" s="28">
        <f>COUNTIF(E$10:E44,E44)</f>
        <v>1</v>
      </c>
      <c r="I44" s="28">
        <f>COUNTIF(F$10:F44,F44)</f>
        <v>1</v>
      </c>
      <c r="J44" s="28">
        <f t="shared" si="9"/>
        <v>1.8000000000000003</v>
      </c>
      <c r="K44" s="28">
        <f t="shared" si="10"/>
        <v>2.5</v>
      </c>
      <c r="L44" s="28">
        <f t="shared" si="11"/>
        <v>3.5</v>
      </c>
      <c r="M44" s="28">
        <f>Clouds[[#This Row],[Cloud 1]]</f>
        <v>68</v>
      </c>
      <c r="N44" s="28">
        <f>Clouds[[#This Row],[Cloud 2]]</f>
        <v>138</v>
      </c>
      <c r="O44" s="28">
        <f>Clouds[[#This Row],[Cloud 3]]</f>
        <v>253</v>
      </c>
    </row>
    <row r="45" spans="4:15" x14ac:dyDescent="0.2">
      <c r="D45" s="20">
        <v>19</v>
      </c>
      <c r="E45" s="20">
        <v>160</v>
      </c>
      <c r="F45" s="65">
        <v>253</v>
      </c>
      <c r="G45" s="28">
        <f>COUNTIF(D$10:D45,D45)</f>
        <v>1</v>
      </c>
      <c r="H45" s="28">
        <f>COUNTIF(E$10:E45,E45)</f>
        <v>2</v>
      </c>
      <c r="I45" s="28">
        <f>COUNTIF(F$10:F45,F45)</f>
        <v>2</v>
      </c>
      <c r="J45" s="28">
        <f t="shared" si="9"/>
        <v>1.5</v>
      </c>
      <c r="K45" s="28">
        <f t="shared" si="10"/>
        <v>2.6</v>
      </c>
      <c r="L45" s="28">
        <f t="shared" si="11"/>
        <v>3.6</v>
      </c>
      <c r="M45" s="28">
        <f>Clouds[[#This Row],[Cloud 1]]</f>
        <v>19</v>
      </c>
      <c r="N45" s="28">
        <f>Clouds[[#This Row],[Cloud 2]]</f>
        <v>160</v>
      </c>
      <c r="O45" s="28">
        <f>Clouds[[#This Row],[Cloud 3]]</f>
        <v>253</v>
      </c>
    </row>
    <row r="46" spans="4:15" x14ac:dyDescent="0.2">
      <c r="D46" s="20">
        <v>28</v>
      </c>
      <c r="E46" s="20">
        <v>191</v>
      </c>
      <c r="F46" s="65">
        <v>254</v>
      </c>
      <c r="G46" s="28">
        <f>COUNTIF(D$10:D46,D46)</f>
        <v>2</v>
      </c>
      <c r="H46" s="28">
        <f>COUNTIF(E$10:E46,E46)</f>
        <v>2</v>
      </c>
      <c r="I46" s="28">
        <f>COUNTIF(F$10:F46,F46)</f>
        <v>1</v>
      </c>
      <c r="J46" s="28">
        <f t="shared" si="9"/>
        <v>1.6</v>
      </c>
      <c r="K46" s="28">
        <f t="shared" si="10"/>
        <v>2.7</v>
      </c>
      <c r="L46" s="28">
        <f t="shared" si="11"/>
        <v>3.5</v>
      </c>
      <c r="M46" s="28">
        <f>Clouds[[#This Row],[Cloud 1]]</f>
        <v>28</v>
      </c>
      <c r="N46" s="28">
        <f>Clouds[[#This Row],[Cloud 2]]</f>
        <v>191</v>
      </c>
      <c r="O46" s="28">
        <f>Clouds[[#This Row],[Cloud 3]]</f>
        <v>254</v>
      </c>
    </row>
    <row r="47" spans="4:15" x14ac:dyDescent="0.2">
      <c r="D47" s="20">
        <v>29</v>
      </c>
      <c r="E47" s="20">
        <v>117</v>
      </c>
      <c r="F47" s="65">
        <v>257</v>
      </c>
      <c r="G47" s="28">
        <f>COUNTIF(D$10:D47,D47)</f>
        <v>2</v>
      </c>
      <c r="H47" s="28">
        <f>COUNTIF(E$10:E47,E47)</f>
        <v>1</v>
      </c>
      <c r="I47" s="28">
        <f>COUNTIF(F$10:F47,F47)</f>
        <v>1</v>
      </c>
      <c r="J47" s="28">
        <f t="shared" si="9"/>
        <v>1.7000000000000002</v>
      </c>
      <c r="K47" s="28">
        <f t="shared" si="10"/>
        <v>2.5</v>
      </c>
      <c r="L47" s="28">
        <f t="shared" si="11"/>
        <v>3.5</v>
      </c>
      <c r="M47" s="28">
        <f>Clouds[[#This Row],[Cloud 1]]</f>
        <v>29</v>
      </c>
      <c r="N47" s="28">
        <f>Clouds[[#This Row],[Cloud 2]]</f>
        <v>117</v>
      </c>
      <c r="O47" s="28">
        <f>Clouds[[#This Row],[Cloud 3]]</f>
        <v>257</v>
      </c>
    </row>
    <row r="48" spans="4:15" x14ac:dyDescent="0.2">
      <c r="D48" s="20">
        <v>17</v>
      </c>
      <c r="E48" s="20">
        <v>123</v>
      </c>
      <c r="F48" s="65">
        <v>257</v>
      </c>
      <c r="G48" s="28">
        <f>COUNTIF(D$10:D48,D48)</f>
        <v>1</v>
      </c>
      <c r="H48" s="28">
        <f>COUNTIF(E$10:E48,E48)</f>
        <v>1</v>
      </c>
      <c r="I48" s="28">
        <f>COUNTIF(F$10:F48,F48)</f>
        <v>2</v>
      </c>
      <c r="J48" s="28">
        <f t="shared" si="9"/>
        <v>1.5</v>
      </c>
      <c r="K48" s="28">
        <f t="shared" si="10"/>
        <v>2.5</v>
      </c>
      <c r="L48" s="28">
        <f t="shared" si="11"/>
        <v>3.6</v>
      </c>
      <c r="M48" s="28">
        <f>Clouds[[#This Row],[Cloud 1]]</f>
        <v>17</v>
      </c>
      <c r="N48" s="28">
        <f>Clouds[[#This Row],[Cloud 2]]</f>
        <v>123</v>
      </c>
      <c r="O48" s="28">
        <f>Clouds[[#This Row],[Cloud 3]]</f>
        <v>257</v>
      </c>
    </row>
    <row r="49" spans="4:15" x14ac:dyDescent="0.2">
      <c r="D49" s="20">
        <v>18</v>
      </c>
      <c r="E49" s="20">
        <v>172</v>
      </c>
      <c r="F49" s="65">
        <v>259</v>
      </c>
      <c r="G49" s="28">
        <f>COUNTIF(D$10:D49,D49)</f>
        <v>2</v>
      </c>
      <c r="H49" s="28">
        <f>COUNTIF(E$10:E49,E49)</f>
        <v>1</v>
      </c>
      <c r="I49" s="28">
        <f>COUNTIF(F$10:F49,F49)</f>
        <v>1</v>
      </c>
      <c r="J49" s="28">
        <f t="shared" si="9"/>
        <v>1.6</v>
      </c>
      <c r="K49" s="28">
        <f t="shared" si="10"/>
        <v>2.5</v>
      </c>
      <c r="L49" s="28">
        <f t="shared" si="11"/>
        <v>3.5</v>
      </c>
      <c r="M49" s="28">
        <f>Clouds[[#This Row],[Cloud 1]]</f>
        <v>18</v>
      </c>
      <c r="N49" s="28">
        <f>Clouds[[#This Row],[Cloud 2]]</f>
        <v>172</v>
      </c>
      <c r="O49" s="28">
        <f>Clouds[[#This Row],[Cloud 3]]</f>
        <v>259</v>
      </c>
    </row>
    <row r="50" spans="4:15" x14ac:dyDescent="0.2">
      <c r="D50" s="20">
        <v>44</v>
      </c>
      <c r="E50" s="20">
        <v>128</v>
      </c>
      <c r="F50" s="65">
        <v>262</v>
      </c>
      <c r="G50" s="28">
        <f>COUNTIF(D$10:D50,D50)</f>
        <v>1</v>
      </c>
      <c r="H50" s="28">
        <f>COUNTIF(E$10:E50,E50)</f>
        <v>1</v>
      </c>
      <c r="I50" s="28">
        <f>COUNTIF(F$10:F50,F50)</f>
        <v>1</v>
      </c>
      <c r="J50" s="28">
        <f t="shared" si="9"/>
        <v>1.5</v>
      </c>
      <c r="K50" s="28">
        <f t="shared" si="10"/>
        <v>2.5</v>
      </c>
      <c r="L50" s="28">
        <f t="shared" si="11"/>
        <v>3.5</v>
      </c>
      <c r="M50" s="28">
        <f>Clouds[[#This Row],[Cloud 1]]</f>
        <v>44</v>
      </c>
      <c r="N50" s="28">
        <f>Clouds[[#This Row],[Cloud 2]]</f>
        <v>128</v>
      </c>
      <c r="O50" s="28">
        <f>Clouds[[#This Row],[Cloud 3]]</f>
        <v>262</v>
      </c>
    </row>
    <row r="51" spans="4:15" x14ac:dyDescent="0.2">
      <c r="D51" s="20">
        <v>60</v>
      </c>
      <c r="E51" s="20">
        <v>191</v>
      </c>
      <c r="F51" s="65">
        <v>262</v>
      </c>
      <c r="G51" s="28">
        <f>COUNTIF(D$10:D55,D51)</f>
        <v>2</v>
      </c>
      <c r="H51" s="28">
        <f>COUNTIF(E$10:E51,E51)</f>
        <v>3</v>
      </c>
      <c r="I51" s="28">
        <f>COUNTIF(F$10:F51,F51)</f>
        <v>2</v>
      </c>
      <c r="J51" s="28">
        <f t="shared" si="9"/>
        <v>1.6</v>
      </c>
      <c r="K51" s="28">
        <f t="shared" si="10"/>
        <v>2.6</v>
      </c>
      <c r="L51" s="28">
        <f t="shared" si="11"/>
        <v>3.6</v>
      </c>
      <c r="M51" s="28">
        <f>Clouds[[#This Row],[Cloud 1]]</f>
        <v>60</v>
      </c>
      <c r="N51" s="28">
        <f>Clouds[[#This Row],[Cloud 2]]</f>
        <v>191</v>
      </c>
      <c r="O51" s="28">
        <f>Clouds[[#This Row],[Cloud 3]]</f>
        <v>262</v>
      </c>
    </row>
    <row r="52" spans="4:15" x14ac:dyDescent="0.2">
      <c r="D52" s="20">
        <v>43</v>
      </c>
      <c r="E52" s="20">
        <v>125</v>
      </c>
      <c r="F52" s="65">
        <v>265</v>
      </c>
      <c r="G52" s="28">
        <f>COUNTIF(D$10:D52,D52)</f>
        <v>1</v>
      </c>
      <c r="H52" s="28">
        <f>COUNTIF(E$10:E52,E52)</f>
        <v>1</v>
      </c>
      <c r="I52" s="28">
        <f>COUNTIF(F$10:F52,F52)</f>
        <v>1</v>
      </c>
      <c r="J52" s="28">
        <f t="shared" si="9"/>
        <v>1.5</v>
      </c>
      <c r="K52" s="28">
        <f t="shared" si="10"/>
        <v>2.5</v>
      </c>
      <c r="L52" s="28">
        <f t="shared" si="11"/>
        <v>3.5</v>
      </c>
      <c r="M52" s="28">
        <f>Clouds[[#This Row],[Cloud 1]]</f>
        <v>43</v>
      </c>
      <c r="N52" s="28">
        <f>Clouds[[#This Row],[Cloud 2]]</f>
        <v>125</v>
      </c>
      <c r="O52" s="28">
        <f>Clouds[[#This Row],[Cloud 3]]</f>
        <v>265</v>
      </c>
    </row>
    <row r="53" spans="4:15" x14ac:dyDescent="0.2">
      <c r="D53" s="20">
        <v>68</v>
      </c>
      <c r="E53" s="20">
        <v>126</v>
      </c>
      <c r="F53" s="65">
        <v>265</v>
      </c>
      <c r="G53" s="28">
        <f>COUNTIF(D$10:D53,D53)</f>
        <v>3</v>
      </c>
      <c r="H53" s="28">
        <f>COUNTIF(E$10:E53,E53)</f>
        <v>1</v>
      </c>
      <c r="I53" s="28">
        <f>COUNTIF(F$10:F53,F53)</f>
        <v>2</v>
      </c>
      <c r="J53" s="28">
        <f t="shared" si="9"/>
        <v>1.6</v>
      </c>
      <c r="K53" s="28">
        <f t="shared" si="10"/>
        <v>2.5</v>
      </c>
      <c r="L53" s="28">
        <f t="shared" si="11"/>
        <v>3.6</v>
      </c>
      <c r="M53" s="28">
        <f>Clouds[[#This Row],[Cloud 1]]</f>
        <v>68</v>
      </c>
      <c r="N53" s="28">
        <f>Clouds[[#This Row],[Cloud 2]]</f>
        <v>126</v>
      </c>
      <c r="O53" s="28">
        <f>Clouds[[#This Row],[Cloud 3]]</f>
        <v>265</v>
      </c>
    </row>
    <row r="54" spans="4:15" x14ac:dyDescent="0.2">
      <c r="D54" s="20">
        <v>39</v>
      </c>
      <c r="E54" s="20">
        <v>121</v>
      </c>
      <c r="F54" s="65">
        <v>272</v>
      </c>
      <c r="G54" s="28">
        <f>COUNTIF(D$10:D54,D54)</f>
        <v>1</v>
      </c>
      <c r="H54" s="28">
        <f>COUNTIF(E$10:E54,E54)</f>
        <v>1</v>
      </c>
      <c r="I54" s="28">
        <f>COUNTIF(F$10:F54,F54)</f>
        <v>1</v>
      </c>
      <c r="J54" s="28">
        <f t="shared" si="9"/>
        <v>1.5</v>
      </c>
      <c r="K54" s="28">
        <f t="shared" si="10"/>
        <v>2.5</v>
      </c>
      <c r="L54" s="28">
        <f t="shared" si="11"/>
        <v>3.5</v>
      </c>
      <c r="M54" s="28">
        <f>Clouds[[#This Row],[Cloud 1]]</f>
        <v>39</v>
      </c>
      <c r="N54" s="28">
        <f>Clouds[[#This Row],[Cloud 2]]</f>
        <v>121</v>
      </c>
      <c r="O54" s="28">
        <f>Clouds[[#This Row],[Cloud 3]]</f>
        <v>272</v>
      </c>
    </row>
    <row r="55" spans="4:15" x14ac:dyDescent="0.2">
      <c r="D55" s="20">
        <v>15</v>
      </c>
      <c r="E55" s="20">
        <v>156</v>
      </c>
      <c r="F55" s="65">
        <v>274</v>
      </c>
      <c r="G55" s="28">
        <f>COUNTIF(D$10:D55,D55)</f>
        <v>1</v>
      </c>
      <c r="H55" s="28">
        <f>COUNTIF(E$10:E55,E55)</f>
        <v>1</v>
      </c>
      <c r="I55" s="28">
        <f>COUNTIF(F$10:F55,F55)</f>
        <v>1</v>
      </c>
      <c r="J55" s="28">
        <f t="shared" si="9"/>
        <v>1.5</v>
      </c>
      <c r="K55" s="28">
        <f t="shared" si="10"/>
        <v>2.5</v>
      </c>
      <c r="L55" s="28">
        <f t="shared" si="11"/>
        <v>3.5</v>
      </c>
      <c r="M55" s="28">
        <f>Clouds[[#This Row],[Cloud 1]]</f>
        <v>15</v>
      </c>
      <c r="N55" s="28">
        <f>Clouds[[#This Row],[Cloud 2]]</f>
        <v>156</v>
      </c>
      <c r="O55" s="28">
        <f>Clouds[[#This Row],[Cloud 3]]</f>
        <v>274</v>
      </c>
    </row>
    <row r="56" spans="4:15" x14ac:dyDescent="0.2">
      <c r="D56" s="20">
        <v>21</v>
      </c>
      <c r="E56" s="20">
        <v>192</v>
      </c>
      <c r="F56" s="65">
        <v>280</v>
      </c>
      <c r="G56" s="28">
        <f>COUNTIF(D$10:D56,D56)</f>
        <v>1</v>
      </c>
      <c r="H56" s="28">
        <f>COUNTIF(E$10:E56,E56)</f>
        <v>1</v>
      </c>
      <c r="I56" s="28">
        <f>COUNTIF(F$10:F56,F56)</f>
        <v>1</v>
      </c>
      <c r="J56" s="28">
        <f t="shared" si="9"/>
        <v>1.5</v>
      </c>
      <c r="K56" s="28">
        <f t="shared" si="10"/>
        <v>2.5</v>
      </c>
      <c r="L56" s="28">
        <f t="shared" si="11"/>
        <v>3.5</v>
      </c>
      <c r="M56" s="28">
        <f>Clouds[[#This Row],[Cloud 1]]</f>
        <v>21</v>
      </c>
      <c r="N56" s="28">
        <f>Clouds[[#This Row],[Cloud 2]]</f>
        <v>192</v>
      </c>
      <c r="O56" s="28">
        <f>Clouds[[#This Row],[Cloud 3]]</f>
        <v>280</v>
      </c>
    </row>
    <row r="57" spans="4:15" x14ac:dyDescent="0.2">
      <c r="D57" s="20">
        <v>8</v>
      </c>
      <c r="E57" s="20">
        <v>105</v>
      </c>
      <c r="F57" s="65">
        <v>283</v>
      </c>
      <c r="G57" s="28">
        <f>COUNTIF(D$10:D57,D57)</f>
        <v>2</v>
      </c>
      <c r="H57" s="28">
        <f>COUNTIF(E$10:E57,E57)</f>
        <v>2</v>
      </c>
      <c r="I57" s="28">
        <f>COUNTIF(F$10:F57,F57)</f>
        <v>1</v>
      </c>
      <c r="J57" s="28">
        <f t="shared" si="9"/>
        <v>1.6</v>
      </c>
      <c r="K57" s="28">
        <f t="shared" si="10"/>
        <v>2.6</v>
      </c>
      <c r="L57" s="28">
        <f t="shared" si="11"/>
        <v>3.5</v>
      </c>
      <c r="M57" s="28">
        <f>Clouds[[#This Row],[Cloud 1]]</f>
        <v>8</v>
      </c>
      <c r="N57" s="28">
        <f>Clouds[[#This Row],[Cloud 2]]</f>
        <v>105</v>
      </c>
      <c r="O57" s="28">
        <f>Clouds[[#This Row],[Cloud 3]]</f>
        <v>283</v>
      </c>
    </row>
    <row r="58" spans="4:15" x14ac:dyDescent="0.2">
      <c r="D58" s="20">
        <v>53</v>
      </c>
      <c r="E58" s="20">
        <v>200</v>
      </c>
      <c r="F58" s="65">
        <v>283</v>
      </c>
      <c r="G58" s="28">
        <f>COUNTIF(D$10:D58,D58)</f>
        <v>1</v>
      </c>
      <c r="H58" s="28">
        <f>COUNTIF(E$10:E58,E58)</f>
        <v>1</v>
      </c>
      <c r="I58" s="28">
        <f>COUNTIF(F$10:F58,F58)</f>
        <v>2</v>
      </c>
      <c r="J58" s="28">
        <f t="shared" si="9"/>
        <v>1.5</v>
      </c>
      <c r="K58" s="28">
        <f t="shared" si="10"/>
        <v>2.5</v>
      </c>
      <c r="L58" s="28">
        <f t="shared" si="11"/>
        <v>3.6</v>
      </c>
      <c r="M58" s="28">
        <f>Clouds[[#This Row],[Cloud 1]]</f>
        <v>53</v>
      </c>
      <c r="N58" s="28">
        <f>Clouds[[#This Row],[Cloud 2]]</f>
        <v>200</v>
      </c>
      <c r="O58" s="28">
        <f>Clouds[[#This Row],[Cloud 3]]</f>
        <v>283</v>
      </c>
    </row>
    <row r="59" spans="4:15" x14ac:dyDescent="0.2">
      <c r="D59" s="20">
        <v>1</v>
      </c>
      <c r="E59" s="20">
        <v>179</v>
      </c>
      <c r="F59" s="65">
        <v>285</v>
      </c>
      <c r="G59" s="28">
        <f>COUNTIF(D$10:D59,D59)</f>
        <v>1</v>
      </c>
      <c r="H59" s="28">
        <f>COUNTIF(E$10:E59,E59)</f>
        <v>1</v>
      </c>
      <c r="I59" s="28">
        <f>COUNTIF(F$10:F59,F59)</f>
        <v>1</v>
      </c>
      <c r="J59" s="28">
        <f t="shared" si="9"/>
        <v>1.5</v>
      </c>
      <c r="K59" s="28">
        <f t="shared" si="10"/>
        <v>2.5</v>
      </c>
      <c r="L59" s="28">
        <f t="shared" si="11"/>
        <v>3.5</v>
      </c>
      <c r="M59" s="28">
        <f>Clouds[[#This Row],[Cloud 1]]</f>
        <v>1</v>
      </c>
      <c r="N59" s="28">
        <f>Clouds[[#This Row],[Cloud 2]]</f>
        <v>179</v>
      </c>
      <c r="O59" s="28">
        <f>Clouds[[#This Row],[Cloud 3]]</f>
        <v>285</v>
      </c>
    </row>
    <row r="60" spans="4:15" x14ac:dyDescent="0.2">
      <c r="D60" s="20">
        <v>63</v>
      </c>
      <c r="E60" s="20">
        <v>113</v>
      </c>
      <c r="F60" s="65">
        <v>290</v>
      </c>
      <c r="G60" s="28">
        <f>COUNTIF(D$10:D60,D60)</f>
        <v>1</v>
      </c>
      <c r="H60" s="28">
        <f>COUNTIF(E$10:E60,E60)</f>
        <v>1</v>
      </c>
      <c r="I60" s="28">
        <f>COUNTIF(F$10:F60,F60)</f>
        <v>1</v>
      </c>
      <c r="J60" s="28">
        <f t="shared" si="9"/>
        <v>1.5</v>
      </c>
      <c r="K60" s="28">
        <f t="shared" si="10"/>
        <v>2.5</v>
      </c>
      <c r="L60" s="28">
        <f t="shared" si="11"/>
        <v>3.5</v>
      </c>
      <c r="M60" s="28">
        <f>Clouds[[#This Row],[Cloud 1]]</f>
        <v>63</v>
      </c>
      <c r="N60" s="28">
        <f>Clouds[[#This Row],[Cloud 2]]</f>
        <v>113</v>
      </c>
      <c r="O60" s="28">
        <f>Clouds[[#This Row],[Cloud 3]]</f>
        <v>290</v>
      </c>
    </row>
    <row r="61" spans="4:15" x14ac:dyDescent="0.2">
      <c r="D61" s="20">
        <v>73</v>
      </c>
      <c r="E61" s="20">
        <v>146</v>
      </c>
      <c r="F61" s="65">
        <v>290</v>
      </c>
      <c r="G61" s="28">
        <f>COUNTIF(D$10:D61,D61)</f>
        <v>1</v>
      </c>
      <c r="H61" s="28">
        <f>COUNTIF(E$10:E61,E61)</f>
        <v>1</v>
      </c>
      <c r="I61" s="28">
        <f>COUNTIF(F$10:F61,F61)</f>
        <v>2</v>
      </c>
      <c r="J61" s="28">
        <f t="shared" si="9"/>
        <v>1.5</v>
      </c>
      <c r="K61" s="28">
        <f t="shared" si="10"/>
        <v>2.5</v>
      </c>
      <c r="L61" s="28">
        <f t="shared" si="11"/>
        <v>3.6</v>
      </c>
      <c r="M61" s="28">
        <f>Clouds[[#This Row],[Cloud 1]]</f>
        <v>73</v>
      </c>
      <c r="N61" s="28">
        <f>Clouds[[#This Row],[Cloud 2]]</f>
        <v>146</v>
      </c>
      <c r="O61" s="28">
        <f>Clouds[[#This Row],[Cloud 3]]</f>
        <v>290</v>
      </c>
    </row>
    <row r="62" spans="4:15" x14ac:dyDescent="0.2">
      <c r="D62" s="20">
        <v>78</v>
      </c>
      <c r="E62" s="20">
        <v>173</v>
      </c>
      <c r="F62" s="65">
        <v>290</v>
      </c>
      <c r="G62" s="28">
        <f>COUNTIF(D$10:D62,D62)</f>
        <v>1</v>
      </c>
      <c r="H62" s="28">
        <f>COUNTIF(E$10:E62,E62)</f>
        <v>1</v>
      </c>
      <c r="I62" s="28">
        <f>COUNTIF(F$10:F62,F62)</f>
        <v>3</v>
      </c>
      <c r="J62" s="28">
        <f t="shared" si="9"/>
        <v>1.5</v>
      </c>
      <c r="K62" s="28">
        <f t="shared" si="10"/>
        <v>2.5</v>
      </c>
      <c r="L62" s="28">
        <f t="shared" si="11"/>
        <v>3.7</v>
      </c>
      <c r="M62" s="28">
        <f>Clouds[[#This Row],[Cloud 1]]</f>
        <v>78</v>
      </c>
      <c r="N62" s="28">
        <f>Clouds[[#This Row],[Cloud 2]]</f>
        <v>173</v>
      </c>
      <c r="O62" s="28">
        <f>Clouds[[#This Row],[Cloud 3]]</f>
        <v>290</v>
      </c>
    </row>
    <row r="63" spans="4:15" x14ac:dyDescent="0.2">
      <c r="D63" s="20">
        <v>90</v>
      </c>
      <c r="E63" s="20">
        <v>189</v>
      </c>
      <c r="F63" s="65">
        <v>290</v>
      </c>
      <c r="G63" s="28">
        <f>COUNTIF(D$10:D63,D63)</f>
        <v>2</v>
      </c>
      <c r="H63" s="28">
        <f>COUNTIF(E$10:E63,E63)</f>
        <v>1</v>
      </c>
      <c r="I63" s="28">
        <f>COUNTIF(F$10:F63,F63)</f>
        <v>4</v>
      </c>
      <c r="J63" s="28">
        <f t="shared" si="9"/>
        <v>1.6</v>
      </c>
      <c r="K63" s="28">
        <f t="shared" si="10"/>
        <v>2.5</v>
      </c>
      <c r="L63" s="28">
        <f t="shared" si="11"/>
        <v>3.8000000000000003</v>
      </c>
      <c r="M63" s="28">
        <f>Clouds[[#This Row],[Cloud 1]]</f>
        <v>90</v>
      </c>
      <c r="N63" s="28">
        <f>Clouds[[#This Row],[Cloud 2]]</f>
        <v>189</v>
      </c>
      <c r="O63" s="28">
        <f>Clouds[[#This Row],[Cloud 3]]</f>
        <v>290</v>
      </c>
    </row>
    <row r="64" spans="4:15" x14ac:dyDescent="0.2">
      <c r="D64" s="20">
        <v>51</v>
      </c>
      <c r="E64" s="20">
        <v>154</v>
      </c>
      <c r="F64" s="65">
        <v>292</v>
      </c>
      <c r="G64" s="28">
        <f>COUNTIF(D$10:D64,D64)</f>
        <v>1</v>
      </c>
      <c r="H64" s="28">
        <f>COUNTIF(E$10:E64,E64)</f>
        <v>1</v>
      </c>
      <c r="I64" s="28">
        <f>COUNTIF(F$10:F64,F64)</f>
        <v>1</v>
      </c>
      <c r="J64" s="28">
        <f t="shared" si="9"/>
        <v>1.5</v>
      </c>
      <c r="K64" s="28">
        <f t="shared" si="10"/>
        <v>2.5</v>
      </c>
      <c r="L64" s="28">
        <f t="shared" si="11"/>
        <v>3.5</v>
      </c>
      <c r="M64" s="28">
        <f>Clouds[[#This Row],[Cloud 1]]</f>
        <v>51</v>
      </c>
      <c r="N64" s="28">
        <f>Clouds[[#This Row],[Cloud 2]]</f>
        <v>154</v>
      </c>
      <c r="O64" s="28">
        <f>Clouds[[#This Row],[Cloud 3]]</f>
        <v>292</v>
      </c>
    </row>
    <row r="65" spans="4:15" x14ac:dyDescent="0.2">
      <c r="D65" s="20">
        <v>27</v>
      </c>
      <c r="E65" s="20">
        <v>177</v>
      </c>
      <c r="F65" s="65">
        <v>293</v>
      </c>
      <c r="G65" s="28">
        <f>COUNTIF(D$10:D65,D65)</f>
        <v>2</v>
      </c>
      <c r="H65" s="28">
        <f>COUNTIF(E$10:E65,E65)</f>
        <v>1</v>
      </c>
      <c r="I65" s="28">
        <f>COUNTIF(F$10:F65,F65)</f>
        <v>1</v>
      </c>
      <c r="J65" s="28">
        <f t="shared" si="9"/>
        <v>1.6</v>
      </c>
      <c r="K65" s="28">
        <f t="shared" si="10"/>
        <v>2.5</v>
      </c>
      <c r="L65" s="28">
        <f t="shared" si="11"/>
        <v>3.5</v>
      </c>
      <c r="M65" s="28">
        <f>Clouds[[#This Row],[Cloud 1]]</f>
        <v>27</v>
      </c>
      <c r="N65" s="28">
        <f>Clouds[[#This Row],[Cloud 2]]</f>
        <v>177</v>
      </c>
      <c r="O65" s="28">
        <f>Clouds[[#This Row],[Cloud 3]]</f>
        <v>293</v>
      </c>
    </row>
    <row r="66" spans="4:15" x14ac:dyDescent="0.2">
      <c r="D66" s="20">
        <v>56</v>
      </c>
      <c r="E66" s="20">
        <v>106</v>
      </c>
      <c r="F66" s="65">
        <v>295</v>
      </c>
      <c r="G66" s="28">
        <f>COUNTIF(D$10:D66,D66)</f>
        <v>2</v>
      </c>
      <c r="H66" s="28">
        <f>COUNTIF(E$10:E66,E66)</f>
        <v>1</v>
      </c>
      <c r="I66" s="28">
        <f>COUNTIF(F$10:F66,F66)</f>
        <v>1</v>
      </c>
      <c r="J66" s="28">
        <f t="shared" si="9"/>
        <v>1.7000000000000002</v>
      </c>
      <c r="K66" s="28">
        <f t="shared" si="10"/>
        <v>2.5</v>
      </c>
      <c r="L66" s="28">
        <f t="shared" si="11"/>
        <v>3.5</v>
      </c>
      <c r="M66" s="28">
        <f>Clouds[[#This Row],[Cloud 1]]</f>
        <v>56</v>
      </c>
      <c r="N66" s="28">
        <f>Clouds[[#This Row],[Cloud 2]]</f>
        <v>106</v>
      </c>
      <c r="O66" s="28">
        <f>Clouds[[#This Row],[Cloud 3]]</f>
        <v>295</v>
      </c>
    </row>
    <row r="67" spans="4:15" x14ac:dyDescent="0.2">
      <c r="D67" s="20">
        <v>12</v>
      </c>
      <c r="E67" s="20">
        <v>190</v>
      </c>
      <c r="F67" s="65">
        <v>295</v>
      </c>
      <c r="G67" s="28">
        <f>COUNTIF(D$10:D67,D67)</f>
        <v>3</v>
      </c>
      <c r="H67" s="28">
        <f>COUNTIF(E$10:E67,E67)</f>
        <v>1</v>
      </c>
      <c r="I67" s="28">
        <f>COUNTIF(F$10:F67,F67)</f>
        <v>2</v>
      </c>
      <c r="J67" s="28">
        <f t="shared" si="9"/>
        <v>1.8000000000000003</v>
      </c>
      <c r="K67" s="28">
        <f t="shared" si="10"/>
        <v>2.5</v>
      </c>
      <c r="L67" s="28">
        <f t="shared" si="11"/>
        <v>3.6</v>
      </c>
      <c r="M67" s="28">
        <f>Clouds[[#This Row],[Cloud 1]]</f>
        <v>12</v>
      </c>
      <c r="N67" s="28">
        <f>Clouds[[#This Row],[Cloud 2]]</f>
        <v>190</v>
      </c>
      <c r="O67" s="28">
        <f>Clouds[[#This Row],[Cloud 3]]</f>
        <v>295</v>
      </c>
    </row>
    <row r="68" spans="4:15" x14ac:dyDescent="0.2">
      <c r="D68" s="20">
        <v>53</v>
      </c>
      <c r="E68" s="20">
        <v>191</v>
      </c>
      <c r="F68" s="65">
        <v>297</v>
      </c>
      <c r="G68" s="28">
        <f>COUNTIF(D$10:D68,D68)</f>
        <v>2</v>
      </c>
      <c r="H68" s="28">
        <f>COUNTIF(E$10:E68,E68)</f>
        <v>4</v>
      </c>
      <c r="I68" s="28">
        <f>COUNTIF(F$10:F68,F68)</f>
        <v>1</v>
      </c>
      <c r="J68" s="28">
        <f t="shared" si="9"/>
        <v>1.9000000000000004</v>
      </c>
      <c r="K68" s="28">
        <f t="shared" si="10"/>
        <v>2.6</v>
      </c>
      <c r="L68" s="28">
        <f t="shared" si="11"/>
        <v>3.5</v>
      </c>
      <c r="M68" s="28">
        <f>Clouds[[#This Row],[Cloud 1]]</f>
        <v>53</v>
      </c>
      <c r="N68" s="28">
        <f>Clouds[[#This Row],[Cloud 2]]</f>
        <v>191</v>
      </c>
      <c r="O68" s="28">
        <f>Clouds[[#This Row],[Cloud 3]]</f>
        <v>297</v>
      </c>
    </row>
    <row r="69" spans="4:15" x14ac:dyDescent="0.2">
      <c r="D69" s="20">
        <v>70</v>
      </c>
      <c r="E69" s="20">
        <v>119</v>
      </c>
      <c r="F69" s="65">
        <v>298</v>
      </c>
      <c r="G69" s="28">
        <f>COUNTIF(D$10:D69,D69)</f>
        <v>1</v>
      </c>
      <c r="H69" s="28">
        <f>COUNTIF(E$10:E69,E69)</f>
        <v>1</v>
      </c>
      <c r="I69" s="28">
        <f>COUNTIF(F$10:F69,F69)</f>
        <v>1</v>
      </c>
      <c r="J69" s="28">
        <f t="shared" si="9"/>
        <v>1.5</v>
      </c>
      <c r="K69" s="28">
        <f t="shared" si="10"/>
        <v>2.5</v>
      </c>
      <c r="L69" s="28">
        <f t="shared" si="11"/>
        <v>3.5</v>
      </c>
      <c r="M69" s="28">
        <f>Clouds[[#This Row],[Cloud 1]]</f>
        <v>70</v>
      </c>
      <c r="N69" s="28">
        <f>Clouds[[#This Row],[Cloud 2]]</f>
        <v>119</v>
      </c>
      <c r="O69" s="28">
        <f>Clouds[[#This Row],[Cloud 3]]</f>
        <v>298</v>
      </c>
    </row>
  </sheetData>
  <mergeCells count="1">
    <mergeCell ref="A3:E3"/>
  </mergeCells>
  <phoneticPr fontId="8" type="noConversion"/>
  <conditionalFormatting sqref="F4">
    <cfRule type="cellIs" dxfId="14" priority="1" operator="notEqual">
      <formula>0</formula>
    </cfRule>
  </conditionalFormatting>
  <hyperlinks>
    <hyperlink ref="D49" location="HL_Navigator" display="Navigator" xr:uid="{FA4E6226-82C1-467D-BAF8-2EB1DC2FC047}"/>
    <hyperlink ref="F4" location="Overall_Error_Check" tooltip="Go to Overall Error Check" display="Overall_Error_Check" xr:uid="{F6A9D66E-DDDE-4711-9056-8483A632204D}"/>
    <hyperlink ref="A3:E3" location="HL_Navigator" tooltip="Go to Navigator (Table of Contents)" display="Navigator" xr:uid="{02BEBD52-AFB8-442C-8E53-4896BC0316E1}"/>
    <hyperlink ref="A3" location="HL_Navigator" display="Navigator" xr:uid="{A00C5CA9-7E21-4939-84AF-013EA399D41F}"/>
  </hyperlink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1" fitToWidth="0" fitToHeight="0" orientation="landscape" r:id="rId1"/>
  <colBreaks count="1" manualBreakCount="1">
    <brk id="15" max="68" man="1"/>
  </colBreaks>
  <drawing r:id="rId2"/>
  <tableParts count="3"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outlinePr summaryBelow="0"/>
  </sheetPr>
  <dimension ref="A1:R19"/>
  <sheetViews>
    <sheetView showGridLines="0" workbookViewId="0">
      <pane ySplit="4" topLeftCell="A5" activePane="bottomLeft" state="frozen"/>
      <selection pane="bottomLeft" activeCell="A3" sqref="A3:E3"/>
    </sheetView>
  </sheetViews>
  <sheetFormatPr defaultColWidth="0" defaultRowHeight="12" outlineLevelRow="1" x14ac:dyDescent="0.2"/>
  <cols>
    <col min="1" max="5" width="3.7109375" customWidth="1"/>
    <col min="6" max="12" width="9.140625" customWidth="1"/>
    <col min="13" max="18" width="0" hidden="1" customWidth="1"/>
    <col min="19" max="16384" width="9.140625" hidden="1"/>
  </cols>
  <sheetData>
    <row r="1" spans="1:11" ht="20.25" x14ac:dyDescent="0.3">
      <c r="A1" s="43" t="str">
        <f ca="1">IF(ISERROR(RIGHT(CELL("filename",A1),LEN(CELL("filename",A1))-FIND("]",CELL("filename",A1)))),
"",
RIGHT(CELL("filename",A1),LEN(CELL("filename",A1))-FIND("]",CELL("filename",A1))))</f>
        <v>Error Checks</v>
      </c>
    </row>
    <row r="2" spans="1:11" ht="18" x14ac:dyDescent="0.25">
      <c r="A2" s="44" t="str">
        <f ca="1">Model_Name</f>
        <v>SP Vertical RainCloud Chart - Complete.xlsm</v>
      </c>
    </row>
    <row r="3" spans="1:11" x14ac:dyDescent="0.2">
      <c r="A3" s="68" t="s">
        <v>1</v>
      </c>
      <c r="B3" s="68"/>
      <c r="C3" s="68"/>
      <c r="D3" s="68"/>
      <c r="E3" s="68"/>
    </row>
    <row r="4" spans="1:11" ht="14.25" x14ac:dyDescent="0.2">
      <c r="B4" t="s">
        <v>2</v>
      </c>
      <c r="F4" s="1">
        <f>Overall_Error_Check</f>
        <v>0</v>
      </c>
    </row>
    <row r="5" spans="1:11" x14ac:dyDescent="0.2">
      <c r="A5" s="11"/>
    </row>
    <row r="6" spans="1:11" ht="16.5" thickBot="1" x14ac:dyDescent="0.3">
      <c r="B6" s="45">
        <f>MAX($B$5:$B5)+1</f>
        <v>1</v>
      </c>
      <c r="C6" s="2" t="s">
        <v>64</v>
      </c>
      <c r="D6" s="2"/>
      <c r="E6" s="2"/>
      <c r="F6" s="2"/>
      <c r="G6" s="2"/>
      <c r="H6" s="2"/>
      <c r="I6" s="2"/>
      <c r="J6" s="2"/>
      <c r="K6" s="2"/>
    </row>
    <row r="7" spans="1:11" ht="12.75" outlineLevel="1" thickTop="1" x14ac:dyDescent="0.2"/>
    <row r="8" spans="1:11" ht="16.5" outlineLevel="1" x14ac:dyDescent="0.25">
      <c r="C8" s="3" t="s">
        <v>65</v>
      </c>
    </row>
    <row r="9" spans="1:11" ht="16.5" outlineLevel="1" x14ac:dyDescent="0.25">
      <c r="C9" s="3"/>
    </row>
    <row r="10" spans="1:11" ht="16.5" outlineLevel="1" x14ac:dyDescent="0.25">
      <c r="C10" s="3"/>
      <c r="D10" s="4" t="s">
        <v>66</v>
      </c>
    </row>
    <row r="11" spans="1:11" outlineLevel="1" x14ac:dyDescent="0.2"/>
    <row r="12" spans="1:11" ht="14.25" outlineLevel="1" x14ac:dyDescent="0.2">
      <c r="E12" t="s">
        <v>67</v>
      </c>
      <c r="I12" s="37"/>
    </row>
    <row r="13" spans="1:11" outlineLevel="1" x14ac:dyDescent="0.2"/>
    <row r="14" spans="1:11" outlineLevel="1" x14ac:dyDescent="0.2"/>
    <row r="15" spans="1:11" outlineLevel="1" x14ac:dyDescent="0.2"/>
    <row r="16" spans="1:11" outlineLevel="1" x14ac:dyDescent="0.2"/>
    <row r="17" spans="5:11" ht="15" outlineLevel="1" x14ac:dyDescent="0.25">
      <c r="E17" s="4" t="str">
        <f>C8</f>
        <v>Summary of Errors</v>
      </c>
      <c r="I17" s="1">
        <f>MIN(1,SUM(I11:I15))</f>
        <v>0</v>
      </c>
      <c r="K17" s="11"/>
    </row>
    <row r="18" spans="5:11" outlineLevel="1" x14ac:dyDescent="0.2"/>
    <row r="19" spans="5:11" outlineLevel="1" x14ac:dyDescent="0.2"/>
  </sheetData>
  <mergeCells count="1">
    <mergeCell ref="A3:E3"/>
  </mergeCells>
  <conditionalFormatting sqref="I17">
    <cfRule type="cellIs" dxfId="5" priority="5" operator="notEqual">
      <formula>0</formula>
    </cfRule>
  </conditionalFormatting>
  <conditionalFormatting sqref="I12">
    <cfRule type="cellIs" dxfId="4" priority="4" operator="notEqual">
      <formula>0</formula>
    </cfRule>
  </conditionalFormatting>
  <conditionalFormatting sqref="I12">
    <cfRule type="cellIs" dxfId="3" priority="3" operator="notEqual">
      <formula>0</formula>
    </cfRule>
  </conditionalFormatting>
  <conditionalFormatting sqref="F4">
    <cfRule type="cellIs" dxfId="2" priority="1" operator="notEqual">
      <formula>0</formula>
    </cfRule>
  </conditionalFormatting>
  <hyperlinks>
    <hyperlink ref="F4" location="Overall_Error_Check" tooltip="Go to Overall Error Check" display="Overall_Error_Check" xr:uid="{00000000-0004-0000-0500-000000000000}"/>
    <hyperlink ref="A3:E3" location="HL_Navigator" tooltip="Go to Navigator (Table of Contents)" display="Navigator" xr:uid="{00000000-0004-0000-0500-000001000000}"/>
    <hyperlink ref="A3" location="HL_Navigator" display="Navigator" xr:uid="{00000000-0004-0000-0500-000002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22"/>
  <sheetViews>
    <sheetView showGridLines="0" workbookViewId="0">
      <pane ySplit="4" topLeftCell="A5" activePane="bottomLeft" state="frozen"/>
      <selection pane="bottomLeft" activeCell="A3" sqref="A3:E3"/>
    </sheetView>
  </sheetViews>
  <sheetFormatPr defaultRowHeight="12" outlineLevelRow="1" x14ac:dyDescent="0.2"/>
  <cols>
    <col min="1" max="5" width="3.7109375" customWidth="1"/>
    <col min="6" max="6" width="11.140625" customWidth="1"/>
    <col min="7" max="7" width="27" customWidth="1"/>
    <col min="8" max="8" width="21.5703125" customWidth="1"/>
    <col min="9" max="9" width="24.42578125" customWidth="1"/>
    <col min="10" max="10" width="30.28515625" customWidth="1"/>
    <col min="11" max="11" width="26.7109375" customWidth="1"/>
  </cols>
  <sheetData>
    <row r="1" spans="1:12" ht="20.25" x14ac:dyDescent="0.3">
      <c r="A1" s="43" t="str">
        <f ca="1">IF(ISERROR(RIGHT(CELL("filename",A1),LEN(CELL("filename",A1))-FIND("]",CELL("filename",A1)))),
"",
RIGHT(CELL("filename",A1),LEN(CELL("filename",A1))-FIND("]",CELL("filename",A1))))</f>
        <v>Change Log</v>
      </c>
      <c r="K1" s="11"/>
    </row>
    <row r="2" spans="1:12" ht="18" x14ac:dyDescent="0.25">
      <c r="A2" s="44" t="str">
        <f ca="1">Model_Name</f>
        <v>SP Vertical RainCloud Chart - Complete.xlsm</v>
      </c>
    </row>
    <row r="3" spans="1:12" x14ac:dyDescent="0.2">
      <c r="A3" s="68" t="s">
        <v>1</v>
      </c>
      <c r="B3" s="68"/>
      <c r="C3" s="68"/>
      <c r="D3" s="68"/>
      <c r="E3" s="68"/>
    </row>
    <row r="4" spans="1:12" ht="14.25" x14ac:dyDescent="0.2">
      <c r="B4" t="s">
        <v>2</v>
      </c>
      <c r="F4" s="1">
        <f>Overall_Error_Check</f>
        <v>0</v>
      </c>
    </row>
    <row r="5" spans="1:12" x14ac:dyDescent="0.2">
      <c r="A5" s="11"/>
    </row>
    <row r="6" spans="1:12" ht="16.5" thickBot="1" x14ac:dyDescent="0.3">
      <c r="B6" s="45">
        <f>MAX($B$5:$B5)+1</f>
        <v>1</v>
      </c>
      <c r="C6" s="2" t="str">
        <f ca="1">A1</f>
        <v>Change Log</v>
      </c>
      <c r="D6" s="2"/>
      <c r="E6" s="2"/>
      <c r="F6" s="2"/>
      <c r="G6" s="2"/>
      <c r="H6" s="2"/>
      <c r="I6" s="2"/>
      <c r="J6" s="2"/>
      <c r="K6" s="2"/>
      <c r="L6" s="2"/>
    </row>
    <row r="7" spans="1:12" ht="12.75" outlineLevel="1" thickTop="1" x14ac:dyDescent="0.2"/>
    <row r="8" spans="1:12" ht="16.5" outlineLevel="1" x14ac:dyDescent="0.25">
      <c r="C8" s="3" t="s">
        <v>85</v>
      </c>
    </row>
    <row r="10" spans="1:12" x14ac:dyDescent="0.2">
      <c r="F10" s="13" t="s">
        <v>60</v>
      </c>
      <c r="G10" s="13" t="s">
        <v>81</v>
      </c>
      <c r="H10" s="13" t="s">
        <v>82</v>
      </c>
      <c r="I10" s="13" t="s">
        <v>83</v>
      </c>
      <c r="J10" s="13" t="s">
        <v>84</v>
      </c>
      <c r="K10" s="13" t="s">
        <v>87</v>
      </c>
    </row>
    <row r="11" spans="1:12" x14ac:dyDescent="0.2">
      <c r="F11" s="38">
        <v>41415</v>
      </c>
      <c r="G11" t="s">
        <v>90</v>
      </c>
      <c r="H11" t="s">
        <v>86</v>
      </c>
      <c r="I11" t="s">
        <v>80</v>
      </c>
      <c r="J11" s="52" t="s">
        <v>88</v>
      </c>
      <c r="K11" t="s">
        <v>89</v>
      </c>
    </row>
    <row r="12" spans="1:12" x14ac:dyDescent="0.2">
      <c r="F12" s="38">
        <v>41415</v>
      </c>
      <c r="G12" t="s">
        <v>90</v>
      </c>
      <c r="H12" t="s">
        <v>91</v>
      </c>
      <c r="I12" t="s">
        <v>69</v>
      </c>
      <c r="J12" s="52" t="s">
        <v>93</v>
      </c>
      <c r="K12" t="s">
        <v>89</v>
      </c>
    </row>
    <row r="13" spans="1:12" x14ac:dyDescent="0.2">
      <c r="F13" s="38">
        <v>41415</v>
      </c>
      <c r="G13" t="s">
        <v>90</v>
      </c>
      <c r="H13" t="s">
        <v>92</v>
      </c>
      <c r="I13" t="s">
        <v>1</v>
      </c>
      <c r="J13" s="52" t="s">
        <v>94</v>
      </c>
      <c r="K13" t="s">
        <v>95</v>
      </c>
    </row>
    <row r="14" spans="1:12" x14ac:dyDescent="0.2">
      <c r="F14" s="38"/>
    </row>
    <row r="15" spans="1:12" x14ac:dyDescent="0.2">
      <c r="F15" s="38"/>
    </row>
    <row r="16" spans="1:12" x14ac:dyDescent="0.2">
      <c r="F16" s="38"/>
    </row>
    <row r="17" spans="6:6" x14ac:dyDescent="0.2">
      <c r="F17" s="38"/>
    </row>
    <row r="18" spans="6:6" x14ac:dyDescent="0.2">
      <c r="F18" s="38"/>
    </row>
    <row r="19" spans="6:6" x14ac:dyDescent="0.2">
      <c r="F19" s="38"/>
    </row>
    <row r="20" spans="6:6" x14ac:dyDescent="0.2">
      <c r="F20" s="38"/>
    </row>
    <row r="21" spans="6:6" x14ac:dyDescent="0.2">
      <c r="F21" s="38"/>
    </row>
    <row r="22" spans="6:6" x14ac:dyDescent="0.2">
      <c r="F22" s="38"/>
    </row>
  </sheetData>
  <mergeCells count="1">
    <mergeCell ref="A3:E3"/>
  </mergeCells>
  <conditionalFormatting sqref="F4">
    <cfRule type="cellIs" dxfId="1" priority="1" operator="notEqual">
      <formula>0</formula>
    </cfRule>
  </conditionalFormatting>
  <hyperlinks>
    <hyperlink ref="F4" location="Overall_Error_Check" tooltip="Go to Overall Error Check" display="Overall_Error_Check" xr:uid="{00000000-0004-0000-0600-000000000000}"/>
    <hyperlink ref="A3:E3" location="HL_Navigator" tooltip="Go to Navigator (Table of Contents)" display="Navigator" xr:uid="{00000000-0004-0000-0600-000001000000}"/>
    <hyperlink ref="A3" location="HL_Navigator" display="Navigator" xr:uid="{00000000-0004-0000-0600-000002000000}"/>
  </hyperlink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f58d06b-05e3-4c65-85ba-22cd93c7683f">
      <Terms xmlns="http://schemas.microsoft.com/office/infopath/2007/PartnerControls"/>
    </lcf76f155ced4ddcb4097134ff3c332f>
    <TaxCatchAll xmlns="ac914b5e-6dd4-4de9-b905-57df3d54023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FE75ECA439A049B41314814B7E4B57" ma:contentTypeVersion="16" ma:contentTypeDescription="Create a new document." ma:contentTypeScope="" ma:versionID="494508ebd4a3a05daa041fe618f41ef2">
  <xsd:schema xmlns:xsd="http://www.w3.org/2001/XMLSchema" xmlns:xs="http://www.w3.org/2001/XMLSchema" xmlns:p="http://schemas.microsoft.com/office/2006/metadata/properties" xmlns:ns2="ff58d06b-05e3-4c65-85ba-22cd93c7683f" xmlns:ns3="ac914b5e-6dd4-4de9-b905-57df3d54023d" targetNamespace="http://schemas.microsoft.com/office/2006/metadata/properties" ma:root="true" ma:fieldsID="7b5e71be2087c237b96495c3d5aaf0da" ns2:_="" ns3:_="">
    <xsd:import namespace="ff58d06b-05e3-4c65-85ba-22cd93c7683f"/>
    <xsd:import namespace="ac914b5e-6dd4-4de9-b905-57df3d5402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58d06b-05e3-4c65-85ba-22cd93c768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a3f6a92-6300-485e-b0cc-b70aa89c14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914b5e-6dd4-4de9-b905-57df3d54023d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0b4198c-4b14-49cc-8beb-9042bcb4eee8}" ma:internalName="TaxCatchAll" ma:showField="CatchAllData" ma:web="ac914b5e-6dd4-4de9-b905-57df3d54023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619791-D556-4F22-833E-9B506B249334}">
  <ds:schemaRefs>
    <ds:schemaRef ds:uri="http://schemas.microsoft.com/office/2006/metadata/properties"/>
    <ds:schemaRef ds:uri="http://purl.org/dc/dcmitype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ff58d06b-05e3-4c65-85ba-22cd93c7683f"/>
    <ds:schemaRef ds:uri="http://www.w3.org/XML/1998/namespace"/>
    <ds:schemaRef ds:uri="ac914b5e-6dd4-4de9-b905-57df3d54023d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4F4E4C38-BF52-4BF4-B7C4-8E4875C370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6E2FA6E-F855-4B85-816F-966DE6EC311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29</vt:i4>
      </vt:variant>
    </vt:vector>
  </HeadingPairs>
  <TitlesOfParts>
    <vt:vector size="38" baseType="lpstr">
      <vt:lpstr>Cover</vt:lpstr>
      <vt:lpstr>Navigator</vt:lpstr>
      <vt:lpstr>Style Guide</vt:lpstr>
      <vt:lpstr>Model Parameters</vt:lpstr>
      <vt:lpstr>Timing</vt:lpstr>
      <vt:lpstr>Vertical Raincloud - 1 Cloud</vt:lpstr>
      <vt:lpstr>Vertical Raincloud - 3 Clouds</vt:lpstr>
      <vt:lpstr>Error Checks</vt:lpstr>
      <vt:lpstr>Change Log</vt:lpstr>
      <vt:lpstr>Client_Name</vt:lpstr>
      <vt:lpstr>Days_in_Year</vt:lpstr>
      <vt:lpstr>Example_Reporting_Month</vt:lpstr>
      <vt:lpstr>HL_1</vt:lpstr>
      <vt:lpstr>HL_3</vt:lpstr>
      <vt:lpstr>HL_4</vt:lpstr>
      <vt:lpstr>HL_5</vt:lpstr>
      <vt:lpstr>'Vertical Raincloud - 3 Clouds'!HL_6</vt:lpstr>
      <vt:lpstr>HL_6</vt:lpstr>
      <vt:lpstr>HL_7</vt:lpstr>
      <vt:lpstr>HL_8</vt:lpstr>
      <vt:lpstr>HL_9</vt:lpstr>
      <vt:lpstr>HL_Model_Parameters</vt:lpstr>
      <vt:lpstr>HL_Navigator</vt:lpstr>
      <vt:lpstr>Model_Name</vt:lpstr>
      <vt:lpstr>Model_Start_Date</vt:lpstr>
      <vt:lpstr>Months_in_Half_Yr</vt:lpstr>
      <vt:lpstr>Months_in_Month</vt:lpstr>
      <vt:lpstr>Months_in_Qtr</vt:lpstr>
      <vt:lpstr>Months_in_Year</vt:lpstr>
      <vt:lpstr>Overall_Error_Check</vt:lpstr>
      <vt:lpstr>Periodicity</vt:lpstr>
      <vt:lpstr>'Vertical Raincloud - 3 Clouds'!Print_Area</vt:lpstr>
      <vt:lpstr>Quarters_in_Year</vt:lpstr>
      <vt:lpstr>Reporting_Month_Factor</vt:lpstr>
      <vt:lpstr>Rounding_Accuracy</vt:lpstr>
      <vt:lpstr>Thousand</vt:lpstr>
      <vt:lpstr>Very_Large_Number</vt:lpstr>
      <vt:lpstr>Very_Small_Number</vt:lpstr>
    </vt:vector>
  </TitlesOfParts>
  <Company>SumProduct Pty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</dc:creator>
  <cp:lastModifiedBy>Sam Ngo</cp:lastModifiedBy>
  <cp:lastPrinted>2022-11-11T00:56:18Z</cp:lastPrinted>
  <dcterms:created xsi:type="dcterms:W3CDTF">2012-10-20T20:39:47Z</dcterms:created>
  <dcterms:modified xsi:type="dcterms:W3CDTF">2024-01-09T01:35:29Z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0x01010015FE75ECA439A049B41314814B7E4B57</vt:lpwstr>
  </property>
  <property fmtid="{D5CDD505-2E9C-101B-9397-08002B2CF9AE}" pid="3" name="MediaServiceImageTags">
    <vt:lpwstr/>
  </property>
</Properties>
</file>