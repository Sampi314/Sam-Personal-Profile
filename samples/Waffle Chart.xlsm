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mproduct0.sharepoint.com/sites/SumProductTeam/Shared Documents/General/Sam/Research/Chart Development/Excel/Waffle Chart/"/>
    </mc:Choice>
  </mc:AlternateContent>
  <xr:revisionPtr revIDLastSave="523" documentId="8_{283501DE-4061-4BF8-B6CE-15B4429E8278}" xr6:coauthVersionLast="47" xr6:coauthVersionMax="47" xr10:uidLastSave="{F80CD289-0E3F-4601-A8B1-560DB9A91651}"/>
  <bookViews>
    <workbookView xWindow="-120" yWindow="-120" windowWidth="29040" windowHeight="15720" activeTab="4" xr2:uid="{00000000-000D-0000-FFFF-FFFF00000000}"/>
  </bookViews>
  <sheets>
    <sheet name="Cover" sheetId="1" r:id="rId1"/>
    <sheet name="Navigator" sheetId="3" r:id="rId2"/>
    <sheet name="Style Guide" sheetId="4" r:id="rId3"/>
    <sheet name="Model Parameters" sheetId="2" r:id="rId4"/>
    <sheet name="Simple Waffle Chart" sheetId="9" r:id="rId5"/>
    <sheet name="Stacked Waffle Chart" sheetId="10" r:id="rId6"/>
    <sheet name="Error Checks" sheetId="5" r:id="rId7"/>
  </sheets>
  <definedNames>
    <definedName name="Client_Name">'Model Parameters'!$G$12</definedName>
    <definedName name="Days_in_Year">'Model Parameters'!$G$19</definedName>
    <definedName name="Example_Reporting_Month">#REF!</definedName>
    <definedName name="HL_1">Cover!$A$3</definedName>
    <definedName name="HL_3">'Style Guide'!$A$3</definedName>
    <definedName name="HL_4">'Model Parameters'!$A$3</definedName>
    <definedName name="HL_5" localSheetId="5">'Stacked Waffle Chart'!$A$3</definedName>
    <definedName name="HL_5">'Simple Waffle Chart'!$A$3</definedName>
    <definedName name="HL_6">'Stacked Waffle Chart'!$A$3</definedName>
    <definedName name="HL_7" localSheetId="5">'Stacked Waffle Chart'!$A$3</definedName>
    <definedName name="HL_7">'Error Checks'!$A$3</definedName>
    <definedName name="HL_Model_Parameters">'Model Parameters'!$A$5</definedName>
    <definedName name="HL_Navigator">Navigator!$A$1</definedName>
    <definedName name="Model_Name">'Model Parameters'!$G$11</definedName>
    <definedName name="Model_Start_Date">#REF!</definedName>
    <definedName name="Months_in_Half_Yr">'Model Parameters'!$G$22</definedName>
    <definedName name="Months_in_Month">'Model Parameters'!$G$20</definedName>
    <definedName name="Months_in_Qtr">'Model Parameters'!$G$21</definedName>
    <definedName name="Months_in_Year">'Model Parameters'!$G$23</definedName>
    <definedName name="Overall_Error_Check">'Error Checks'!$I$17</definedName>
    <definedName name="Periodicity">#REF!</definedName>
    <definedName name="Quarters_in_Year">'Model Parameters'!$G$24</definedName>
    <definedName name="Reporting_Month_Factor">#REF!</definedName>
    <definedName name="Rounding_Accuracy">'Model Parameters'!$G$26</definedName>
    <definedName name="Thousand">'Model Parameters'!$G$31</definedName>
    <definedName name="Very_Large_Number">'Model Parameters'!$G$28</definedName>
    <definedName name="Very_Small_Number">'Model Parameters'!$G$29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2" i="9" l="1" a="1"/>
  <c r="G32" i="9" s="1"/>
  <c r="G18" i="9" a="1"/>
  <c r="G18" i="9" s="1"/>
  <c r="G20" i="10" l="1" a="1"/>
  <c r="G20" i="10" s="1"/>
  <c r="G34" i="10" a="1"/>
  <c r="G34" i="10" s="1"/>
  <c r="D13" i="10"/>
  <c r="B6" i="10"/>
  <c r="F4" i="10"/>
  <c r="A1" i="10"/>
  <c r="C6" i="10" s="1"/>
  <c r="B6" i="9"/>
  <c r="A1" i="9"/>
  <c r="C6" i="9" s="1"/>
  <c r="A1" i="5" l="1"/>
  <c r="I37" i="4" l="1"/>
  <c r="A1" i="2" l="1"/>
  <c r="E17" i="5"/>
  <c r="I17" i="5"/>
  <c r="F4" i="9" s="1"/>
  <c r="B6" i="5"/>
  <c r="A1" i="4"/>
  <c r="K74" i="4"/>
  <c r="K72" i="4"/>
  <c r="K70" i="4"/>
  <c r="I70" i="4"/>
  <c r="K68" i="4"/>
  <c r="I68" i="4"/>
  <c r="K66" i="4"/>
  <c r="K64" i="4"/>
  <c r="K62" i="4"/>
  <c r="K60" i="4"/>
  <c r="K53" i="4"/>
  <c r="K51" i="4"/>
  <c r="K49" i="4"/>
  <c r="I47" i="4"/>
  <c r="K45" i="4"/>
  <c r="K43" i="4"/>
  <c r="K41" i="4"/>
  <c r="I41" i="4"/>
  <c r="I49" i="4" s="1"/>
  <c r="K37" i="4"/>
  <c r="K35" i="4"/>
  <c r="K33" i="4"/>
  <c r="K31" i="4"/>
  <c r="K29" i="4"/>
  <c r="I29" i="4"/>
  <c r="K27" i="4"/>
  <c r="I20" i="4"/>
  <c r="I18" i="4"/>
  <c r="I16" i="4"/>
  <c r="I15" i="4"/>
  <c r="I14" i="4"/>
  <c r="I13" i="4"/>
  <c r="I11" i="4"/>
  <c r="I10" i="4"/>
  <c r="B6" i="4"/>
  <c r="B23" i="4" s="1"/>
  <c r="C5" i="1"/>
  <c r="G11" i="2"/>
  <c r="A2" i="10" s="1"/>
  <c r="B6" i="2"/>
  <c r="B15" i="2" s="1"/>
  <c r="F4" i="5" l="1"/>
  <c r="I4" i="2"/>
  <c r="A2" i="9"/>
  <c r="G4" i="3"/>
  <c r="I4" i="4"/>
  <c r="A2" i="2"/>
  <c r="A2" i="5"/>
  <c r="B56" i="4"/>
  <c r="A2" i="4"/>
  <c r="A2" i="3"/>
  <c r="C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<sst xmlns="http://schemas.openxmlformats.org/spreadsheetml/2006/main" count="120" uniqueCount="84">
  <si>
    <t>Model Parameters</t>
  </si>
  <si>
    <t>Navigator</t>
  </si>
  <si>
    <t>Error Checks:</t>
  </si>
  <si>
    <t>General</t>
  </si>
  <si>
    <t>Key Inputs</t>
  </si>
  <si>
    <t>Model Name</t>
  </si>
  <si>
    <t>Client Name</t>
  </si>
  <si>
    <t>General Range Names</t>
  </si>
  <si>
    <t>Technical Assumptions</t>
  </si>
  <si>
    <t>Days in Year</t>
  </si>
  <si>
    <t>Months in Month</t>
  </si>
  <si>
    <t>Months in Quarter</t>
  </si>
  <si>
    <t>Months in Half Yr</t>
  </si>
  <si>
    <t>Months in Year</t>
  </si>
  <si>
    <t>Quarters in Year</t>
  </si>
  <si>
    <t>Rounding Accuracy</t>
  </si>
  <si>
    <t>Very Large Number</t>
  </si>
  <si>
    <t>Very Small Number</t>
  </si>
  <si>
    <t>Thousand</t>
  </si>
  <si>
    <t>General Cover Notes:</t>
  </si>
  <si>
    <t>Any queries, please e-mail:</t>
  </si>
  <si>
    <t>Website:</t>
  </si>
  <si>
    <t>www.sumproduct.com</t>
  </si>
  <si>
    <t>Table of Contents</t>
  </si>
  <si>
    <t>Cover</t>
  </si>
  <si>
    <t>Style Guide</t>
  </si>
  <si>
    <t>Formatting of Headers / Dividers</t>
  </si>
  <si>
    <t>Description</t>
  </si>
  <si>
    <t>Display</t>
  </si>
  <si>
    <t>Style Name</t>
  </si>
  <si>
    <t>Sheet Title</t>
  </si>
  <si>
    <t>Header 1</t>
  </si>
  <si>
    <t>Header 2</t>
  </si>
  <si>
    <t>Header 3</t>
  </si>
  <si>
    <t>Header 4</t>
  </si>
  <si>
    <t>Notes</t>
  </si>
  <si>
    <t>Table Heading</t>
  </si>
  <si>
    <t>Individual Cell Styles</t>
  </si>
  <si>
    <t>Assumption</t>
  </si>
  <si>
    <t>Constraint</t>
  </si>
  <si>
    <t>Empty</t>
  </si>
  <si>
    <t>Error Check</t>
  </si>
  <si>
    <t>Hyperlink</t>
  </si>
  <si>
    <t>Internal Reference</t>
  </si>
  <si>
    <t>Line Calculation</t>
  </si>
  <si>
    <t>Line Calc</t>
  </si>
  <si>
    <t>Line Total</t>
  </si>
  <si>
    <t>Parameter</t>
  </si>
  <si>
    <t>Range Name Description</t>
  </si>
  <si>
    <t>Not_Named</t>
  </si>
  <si>
    <t>Row Reference</t>
  </si>
  <si>
    <t>Row Ref</t>
  </si>
  <si>
    <t>Row Summary</t>
  </si>
  <si>
    <t>Units</t>
  </si>
  <si>
    <t>WIP</t>
  </si>
  <si>
    <t>Numerical Styles</t>
  </si>
  <si>
    <t>Comma</t>
  </si>
  <si>
    <t>Comma [0]</t>
  </si>
  <si>
    <t>Currency</t>
  </si>
  <si>
    <t>Currency [0]</t>
  </si>
  <si>
    <t>Date</t>
  </si>
  <si>
    <t>Date Heading</t>
  </si>
  <si>
    <t>Numbers 0</t>
  </si>
  <si>
    <t>Percent</t>
  </si>
  <si>
    <t>Error Checks</t>
  </si>
  <si>
    <t>Summary of Errors</t>
  </si>
  <si>
    <t>Assumptions</t>
  </si>
  <si>
    <t>Example</t>
  </si>
  <si>
    <t>A$</t>
  </si>
  <si>
    <t>SumProduct Pty Limited</t>
  </si>
  <si>
    <t>Primary Developer:  Sam Ngo</t>
  </si>
  <si>
    <t>Sam.Ngo@sumproduct.com</t>
  </si>
  <si>
    <t>Waffle Chart</t>
  </si>
  <si>
    <t>Data</t>
  </si>
  <si>
    <t>Value</t>
  </si>
  <si>
    <t>Chart</t>
  </si>
  <si>
    <t>Style 1</t>
  </si>
  <si>
    <t>Style 2</t>
  </si>
  <si>
    <t>A</t>
  </si>
  <si>
    <t>B</t>
  </si>
  <si>
    <t>C</t>
  </si>
  <si>
    <t>Simple Waffle Chart</t>
  </si>
  <si>
    <t>Stacked Waffle Chart</t>
  </si>
  <si>
    <t>A, B, C need to added up to 100%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</si>
</sst>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9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164" formatCode="&quot;ý&quot;;&quot;ý&quot;;&quot;þ&quot;"/>
    <numFmt numFmtId="165" formatCode="#,##0&quot;.&quot;"/>
    <numFmt numFmtId="166" formatCode="0.E+00"/>
    <numFmt numFmtId="167" formatCode=";;;"/>
    <numFmt numFmtId="168" formatCode="_(#,##0_);[Red]\(#,##0\);_(\-_);"/>
    <numFmt numFmtId="169" formatCode="_(&quot;$&quot;#,##0.0_);\(&quot;$&quot;#,##0.0\);_(&quot;-&quot;_)"/>
    <numFmt numFmtId="170" formatCode="_(#,##0.0_);\(#,##0.0\);_(&quot;-&quot;_)"/>
    <numFmt numFmtId="171" formatCode="&quot;Row &quot;###0"/>
    <numFmt numFmtId="172" formatCode="#,##0."/>
    <numFmt numFmtId="173" formatCode="_(#,##0_);\(#,##0\);_(\-_)"/>
    <numFmt numFmtId="174" formatCode="_(#,##0.00_);\(#,##0.00\);_(\-_._0_0_)"/>
    <numFmt numFmtId="175" formatCode="&quot;$&quot;* _(#,##0.00_);&quot;$&quot;* \(#,##0.00\);&quot;$&quot;* _(\-_._0_0_)"/>
    <numFmt numFmtId="176" formatCode="&quot;$&quot;* _(#,##0_);&quot;$&quot;* \(#,##0\);&quot;$&quot;* _(\-_)"/>
    <numFmt numFmtId="177" formatCode="[$-C09]dd\ mmm\ yy;@"/>
    <numFmt numFmtId="178" formatCode="mmm\ yy"/>
    <numFmt numFmtId="179" formatCode="[$-C09]d\ mmm\ yy;@"/>
  </numFmts>
  <fonts count="34" x14ac:knownFonts="1">
    <font>
      <sz val="9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Wingdings"/>
      <charset val="2"/>
    </font>
    <font>
      <i/>
      <sz val="11"/>
      <color theme="0" tint="-0.34998626667073579"/>
      <name val="Calibri"/>
      <family val="2"/>
      <scheme val="minor"/>
    </font>
    <font>
      <b/>
      <u/>
      <sz val="8"/>
      <color indexed="56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i/>
      <sz val="11"/>
      <color theme="0" tint="-0.499984740745262"/>
      <name val="Calibri"/>
      <family val="2"/>
      <scheme val="minor"/>
    </font>
    <font>
      <sz val="8"/>
      <name val="Arial"/>
      <family val="2"/>
    </font>
    <font>
      <sz val="10"/>
      <color theme="1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0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theme="0"/>
      <name val="Arial"/>
      <family val="2"/>
    </font>
    <font>
      <b/>
      <sz val="16"/>
      <color theme="8" tint="-0.499984740745262"/>
      <name val="Arial"/>
      <family val="2"/>
    </font>
    <font>
      <sz val="14"/>
      <color theme="8" tint="-0.499984740745262"/>
      <name val="Arial"/>
      <family val="2"/>
    </font>
    <font>
      <b/>
      <sz val="12"/>
      <color theme="0"/>
      <name val="Arial"/>
      <family val="2"/>
    </font>
    <font>
      <b/>
      <sz val="13"/>
      <color theme="8" tint="-0.499984740745262"/>
      <name val="Arial"/>
      <family val="2"/>
    </font>
    <font>
      <b/>
      <sz val="11"/>
      <color theme="1"/>
      <name val="Arial"/>
      <family val="2"/>
    </font>
    <font>
      <b/>
      <sz val="11"/>
      <color theme="3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sz val="18"/>
      <color theme="3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9"/>
      <color theme="8" tint="-0.499984740745262"/>
      <name val="Arial"/>
      <family val="2"/>
    </font>
    <font>
      <sz val="9"/>
      <color theme="0" tint="-0.499984740745262"/>
      <name val="Arial"/>
      <family val="2"/>
    </font>
    <font>
      <b/>
      <u/>
      <sz val="9"/>
      <color theme="1"/>
      <name val="Arial"/>
      <family val="2"/>
    </font>
    <font>
      <sz val="9"/>
      <name val="Arial"/>
      <family val="2"/>
    </font>
    <font>
      <i/>
      <sz val="9"/>
      <color theme="8" tint="-0.499984740745262"/>
      <name val="Arial"/>
      <family val="2"/>
    </font>
    <font>
      <sz val="9"/>
      <color theme="8" tint="0.39988402966399123"/>
      <name val="Arial"/>
      <family val="2"/>
    </font>
    <font>
      <sz val="9"/>
      <color rgb="FFFF0000"/>
      <name val="Arial"/>
      <family val="2"/>
    </font>
    <font>
      <i/>
      <sz val="8"/>
      <color rgb="FFFF0000"/>
      <name val="Arial"/>
      <family val="2"/>
    </font>
    <font>
      <sz val="8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gray125">
        <fgColor theme="8" tint="-0.499984740745262"/>
        <bgColor theme="8" tint="0.59996337778862885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174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14" fillId="0" borderId="0" applyNumberFormat="0" applyFill="0" applyBorder="0" applyProtection="0"/>
    <xf numFmtId="0" fontId="27" fillId="0" borderId="0" applyNumberFormat="0" applyFill="0" applyBorder="0">
      <alignment horizontal="left"/>
      <protection locked="0"/>
    </xf>
    <xf numFmtId="0" fontId="15" fillId="0" borderId="0" applyNumberFormat="0" applyFill="0" applyBorder="0" applyProtection="0"/>
    <xf numFmtId="0" fontId="16" fillId="3" borderId="1" applyNumberFormat="0" applyProtection="0"/>
    <xf numFmtId="0" fontId="17" fillId="0" borderId="0" applyNumberFormat="0" applyFill="0" applyAlignment="0" applyProtection="0"/>
    <xf numFmtId="0" fontId="18" fillId="0" borderId="0" applyNumberFormat="0" applyFill="0" applyAlignment="0" applyProtection="0"/>
    <xf numFmtId="0" fontId="26" fillId="0" borderId="3" applyNumberFormat="0" applyAlignment="0">
      <alignment horizontal="center"/>
    </xf>
    <xf numFmtId="0" fontId="25" fillId="4" borderId="4" applyNumberFormat="0" applyAlignment="0">
      <protection locked="0"/>
    </xf>
    <xf numFmtId="0" fontId="3" fillId="0" borderId="0" applyNumberFormat="0" applyFill="0" applyBorder="0"/>
    <xf numFmtId="179" fontId="23" fillId="0" borderId="0" applyFill="0" applyBorder="0" applyProtection="0">
      <alignment horizontal="center"/>
    </xf>
    <xf numFmtId="178" fontId="24" fillId="0" borderId="0" applyFill="0" applyBorder="0" applyProtection="0">
      <alignment horizontal="center"/>
    </xf>
    <xf numFmtId="167" fontId="1" fillId="5" borderId="4" applyAlignment="0"/>
    <xf numFmtId="164" fontId="2" fillId="2" borderId="2">
      <alignment horizontal="center"/>
      <protection locked="0"/>
    </xf>
    <xf numFmtId="0" fontId="4" fillId="0" borderId="0" applyFill="0" applyBorder="0">
      <alignment horizontal="left" vertical="center"/>
      <protection locked="0"/>
    </xf>
    <xf numFmtId="41" fontId="28" fillId="6" borderId="5" applyNumberFormat="0" applyAlignment="0"/>
    <xf numFmtId="41" fontId="1" fillId="0" borderId="6" applyNumberFormat="0" applyFont="0" applyFill="0" applyAlignment="0"/>
    <xf numFmtId="168" fontId="1" fillId="0" borderId="7" applyNumberFormat="0" applyFont="0" applyFill="0" applyAlignment="0" applyProtection="0"/>
    <xf numFmtId="0" fontId="6" fillId="0" borderId="0"/>
    <xf numFmtId="0" fontId="32" fillId="0" borderId="8" applyNumberFormat="0" applyFill="0" applyBorder="0"/>
    <xf numFmtId="168" fontId="1" fillId="0" borderId="0" applyFont="0" applyFill="0" applyBorder="0" applyAlignment="0" applyProtection="0"/>
    <xf numFmtId="0" fontId="26" fillId="7" borderId="2" applyNumberFormat="0" applyAlignment="0" applyProtection="0"/>
    <xf numFmtId="0" fontId="7" fillId="0" borderId="0" applyNumberFormat="0" applyFill="0" applyBorder="0" applyAlignment="0" applyProtection="0"/>
    <xf numFmtId="169" fontId="8" fillId="0" borderId="0" applyFill="0" applyBorder="0">
      <alignment horizontal="right" vertical="center"/>
    </xf>
    <xf numFmtId="170" fontId="8" fillId="0" borderId="0" applyFill="0" applyBorder="0">
      <alignment horizontal="right" vertical="center"/>
    </xf>
    <xf numFmtId="171" fontId="29" fillId="7" borderId="4">
      <alignment horizontal="center"/>
    </xf>
    <xf numFmtId="41" fontId="5" fillId="8" borderId="5" applyFont="0" applyAlignment="0"/>
    <xf numFmtId="0" fontId="13" fillId="11" borderId="0" applyNumberFormat="0">
      <alignment horizontal="center"/>
    </xf>
    <xf numFmtId="0" fontId="30" fillId="0" borderId="0" applyNumberFormat="0" applyFill="0" applyBorder="0" applyProtection="0"/>
    <xf numFmtId="0" fontId="31" fillId="9" borderId="9" applyNumberFormat="0" applyAlignment="0">
      <protection locked="0"/>
    </xf>
    <xf numFmtId="0" fontId="22" fillId="0" borderId="0" applyNumberFormat="0" applyFill="0" applyBorder="0" applyAlignment="0" applyProtection="0"/>
    <xf numFmtId="0" fontId="20" fillId="0" borderId="1" applyNumberFormat="0" applyFill="0" applyAlignment="0" applyProtection="0"/>
    <xf numFmtId="0" fontId="21" fillId="0" borderId="10" applyNumberFormat="0" applyFill="0" applyAlignment="0" applyProtection="0"/>
    <xf numFmtId="0" fontId="19" fillId="0" borderId="11" applyNumberFormat="0" applyFill="0" applyAlignment="0" applyProtection="0"/>
    <xf numFmtId="0" fontId="18" fillId="0" borderId="12" applyNumberFormat="0" applyFill="0" applyAlignment="0" applyProtection="0"/>
    <xf numFmtId="172" fontId="16" fillId="3" borderId="1"/>
  </cellStyleXfs>
  <cellXfs count="81">
    <xf numFmtId="0" fontId="0" fillId="0" borderId="0" xfId="0"/>
    <xf numFmtId="164" fontId="2" fillId="2" borderId="2" xfId="0" applyNumberFormat="1" applyFont="1" applyFill="1" applyBorder="1" applyAlignment="1" applyProtection="1">
      <alignment horizontal="center"/>
      <protection locked="0"/>
    </xf>
    <xf numFmtId="0" fontId="16" fillId="3" borderId="1" xfId="10"/>
    <xf numFmtId="0" fontId="17" fillId="0" borderId="0" xfId="11"/>
    <xf numFmtId="0" fontId="18" fillId="0" borderId="0" xfId="12"/>
    <xf numFmtId="0" fontId="26" fillId="0" borderId="3" xfId="13" applyAlignment="1">
      <alignment horizontal="center"/>
    </xf>
    <xf numFmtId="166" fontId="26" fillId="0" borderId="3" xfId="13" applyNumberFormat="1" applyAlignment="1">
      <alignment horizontal="center"/>
    </xf>
    <xf numFmtId="0" fontId="9" fillId="0" borderId="0" xfId="0" applyFont="1"/>
    <xf numFmtId="0" fontId="10" fillId="0" borderId="0" xfId="12" applyFont="1" applyAlignment="1">
      <alignment horizontal="left" vertical="center"/>
    </xf>
    <xf numFmtId="0" fontId="11" fillId="0" borderId="0" xfId="0" applyFont="1"/>
    <xf numFmtId="0" fontId="11" fillId="0" borderId="0" xfId="6" applyFont="1" applyAlignment="1">
      <alignment horizontal="left" vertical="center"/>
    </xf>
    <xf numFmtId="0" fontId="27" fillId="0" borderId="0" xfId="8">
      <alignment horizontal="left"/>
      <protection locked="0"/>
    </xf>
    <xf numFmtId="0" fontId="27" fillId="0" borderId="0" xfId="8" applyAlignment="1">
      <alignment horizontal="right"/>
      <protection locked="0"/>
    </xf>
    <xf numFmtId="0" fontId="13" fillId="11" borderId="0" xfId="33">
      <alignment horizontal="center"/>
    </xf>
    <xf numFmtId="0" fontId="14" fillId="0" borderId="0" xfId="7" applyBorder="1"/>
    <xf numFmtId="0" fontId="12" fillId="0" borderId="0" xfId="0" applyFont="1" applyAlignment="1">
      <alignment horizontal="left"/>
    </xf>
    <xf numFmtId="0" fontId="15" fillId="0" borderId="0" xfId="9" applyBorder="1"/>
    <xf numFmtId="0" fontId="0" fillId="0" borderId="0" xfId="0" applyAlignment="1">
      <alignment horizontal="left"/>
    </xf>
    <xf numFmtId="0" fontId="19" fillId="0" borderId="0" xfId="6" applyBorder="1"/>
    <xf numFmtId="0" fontId="32" fillId="0" borderId="0" xfId="25" applyBorder="1"/>
    <xf numFmtId="0" fontId="25" fillId="4" borderId="4" xfId="14">
      <protection locked="0"/>
    </xf>
    <xf numFmtId="0" fontId="12" fillId="0" borderId="0" xfId="0" applyFont="1"/>
    <xf numFmtId="0" fontId="26" fillId="0" borderId="3" xfId="13" applyAlignment="1"/>
    <xf numFmtId="167" fontId="1" fillId="5" borderId="4" xfId="18"/>
    <xf numFmtId="164" fontId="2" fillId="2" borderId="2" xfId="19">
      <alignment horizontal="center"/>
      <protection locked="0"/>
    </xf>
    <xf numFmtId="0" fontId="28" fillId="6" borderId="5" xfId="21" applyNumberFormat="1"/>
    <xf numFmtId="0" fontId="0" fillId="0" borderId="6" xfId="22" applyNumberFormat="1" applyFont="1"/>
    <xf numFmtId="0" fontId="0" fillId="0" borderId="7" xfId="23" applyNumberFormat="1" applyFont="1"/>
    <xf numFmtId="0" fontId="26" fillId="7" borderId="2" xfId="27"/>
    <xf numFmtId="0" fontId="7" fillId="0" borderId="0" xfId="28"/>
    <xf numFmtId="171" fontId="29" fillId="7" borderId="4" xfId="31">
      <alignment horizontal="center"/>
    </xf>
    <xf numFmtId="41" fontId="0" fillId="8" borderId="5" xfId="32" applyFont="1"/>
    <xf numFmtId="0" fontId="30" fillId="0" borderId="0" xfId="34"/>
    <xf numFmtId="0" fontId="31" fillId="9" borderId="9" xfId="35">
      <protection locked="0"/>
    </xf>
    <xf numFmtId="173" fontId="0" fillId="0" borderId="0" xfId="2" applyFont="1"/>
    <xf numFmtId="168" fontId="0" fillId="0" borderId="0" xfId="26" applyFont="1"/>
    <xf numFmtId="9" fontId="0" fillId="0" borderId="0" xfId="5" applyFont="1"/>
    <xf numFmtId="164" fontId="2" fillId="10" borderId="2" xfId="0" applyNumberFormat="1" applyFont="1" applyFill="1" applyBorder="1" applyAlignment="1" applyProtection="1">
      <alignment horizontal="center"/>
      <protection locked="0"/>
    </xf>
    <xf numFmtId="0" fontId="3" fillId="0" borderId="0" xfId="15"/>
    <xf numFmtId="165" fontId="16" fillId="3" borderId="1" xfId="10" applyNumberFormat="1"/>
    <xf numFmtId="0" fontId="14" fillId="0" borderId="0" xfId="7"/>
    <xf numFmtId="0" fontId="15" fillId="0" borderId="0" xfId="9"/>
    <xf numFmtId="172" fontId="16" fillId="3" borderId="1" xfId="41"/>
    <xf numFmtId="174" fontId="0" fillId="0" borderId="0" xfId="1" applyFont="1"/>
    <xf numFmtId="175" fontId="0" fillId="0" borderId="0" xfId="3" applyNumberFormat="1" applyFont="1"/>
    <xf numFmtId="176" fontId="0" fillId="0" borderId="0" xfId="4" applyNumberFormat="1" applyFont="1"/>
    <xf numFmtId="177" fontId="23" fillId="0" borderId="0" xfId="16" applyNumberFormat="1" applyBorder="1">
      <alignment horizontal="center"/>
    </xf>
    <xf numFmtId="178" fontId="24" fillId="0" borderId="0" xfId="17" applyBorder="1">
      <alignment horizontal="center"/>
    </xf>
    <xf numFmtId="9" fontId="25" fillId="4" borderId="4" xfId="14" applyNumberFormat="1">
      <protection locked="0"/>
    </xf>
    <xf numFmtId="10" fontId="0" fillId="0" borderId="0" xfId="0" applyNumberFormat="1"/>
    <xf numFmtId="9" fontId="33" fillId="0" borderId="14" xfId="5" applyFont="1" applyBorder="1" applyAlignment="1">
      <alignment horizontal="center" vertical="center"/>
    </xf>
    <xf numFmtId="9" fontId="33" fillId="0" borderId="15" xfId="5" applyFont="1" applyBorder="1" applyAlignment="1">
      <alignment horizontal="center" vertical="center"/>
    </xf>
    <xf numFmtId="9" fontId="33" fillId="0" borderId="16" xfId="5" applyFont="1" applyBorder="1" applyAlignment="1">
      <alignment horizontal="center" vertical="center"/>
    </xf>
    <xf numFmtId="9" fontId="33" fillId="0" borderId="17" xfId="5" applyFont="1" applyBorder="1" applyAlignment="1">
      <alignment horizontal="center" vertical="center"/>
    </xf>
    <xf numFmtId="9" fontId="33" fillId="0" borderId="13" xfId="5" applyFont="1" applyBorder="1" applyAlignment="1">
      <alignment horizontal="center" vertical="center"/>
    </xf>
    <xf numFmtId="9" fontId="33" fillId="0" borderId="18" xfId="5" applyFont="1" applyBorder="1" applyAlignment="1">
      <alignment horizontal="center" vertical="center"/>
    </xf>
    <xf numFmtId="9" fontId="33" fillId="0" borderId="19" xfId="5" applyFont="1" applyBorder="1" applyAlignment="1">
      <alignment horizontal="center" vertical="center"/>
    </xf>
    <xf numFmtId="9" fontId="33" fillId="0" borderId="20" xfId="5" applyFont="1" applyBorder="1" applyAlignment="1">
      <alignment horizontal="center" vertical="center"/>
    </xf>
    <xf numFmtId="9" fontId="33" fillId="0" borderId="21" xfId="5" applyFont="1" applyBorder="1" applyAlignment="1">
      <alignment horizontal="center" vertical="center"/>
    </xf>
    <xf numFmtId="9" fontId="33" fillId="0" borderId="14" xfId="5" applyFont="1" applyBorder="1"/>
    <xf numFmtId="9" fontId="33" fillId="0" borderId="15" xfId="5" applyFont="1" applyBorder="1"/>
    <xf numFmtId="9" fontId="33" fillId="0" borderId="16" xfId="5" applyFont="1" applyBorder="1"/>
    <xf numFmtId="9" fontId="33" fillId="0" borderId="17" xfId="5" applyFont="1" applyBorder="1"/>
    <xf numFmtId="9" fontId="33" fillId="0" borderId="13" xfId="5" applyFont="1" applyBorder="1"/>
    <xf numFmtId="9" fontId="33" fillId="0" borderId="18" xfId="5" applyFont="1" applyBorder="1"/>
    <xf numFmtId="9" fontId="33" fillId="0" borderId="19" xfId="5" applyFont="1" applyBorder="1"/>
    <xf numFmtId="9" fontId="33" fillId="0" borderId="20" xfId="5" applyFont="1" applyBorder="1"/>
    <xf numFmtId="9" fontId="33" fillId="0" borderId="21" xfId="5" applyFont="1" applyBorder="1"/>
    <xf numFmtId="9" fontId="33" fillId="0" borderId="0" xfId="5" applyFont="1" applyBorder="1" applyAlignment="1">
      <alignment horizontal="center" vertical="center"/>
    </xf>
    <xf numFmtId="0" fontId="11" fillId="0" borderId="0" xfId="6" applyFont="1" applyAlignment="1">
      <alignment horizontal="left" vertical="center"/>
    </xf>
    <xf numFmtId="0" fontId="27" fillId="0" borderId="0" xfId="8">
      <alignment horizontal="left"/>
      <protection locked="0"/>
    </xf>
    <xf numFmtId="0" fontId="0" fillId="0" borderId="0" xfId="0"/>
    <xf numFmtId="0" fontId="13" fillId="11" borderId="0" xfId="33">
      <alignment horizontal="center"/>
    </xf>
    <xf numFmtId="0" fontId="26" fillId="0" borderId="3" xfId="13" applyAlignment="1">
      <alignment horizontal="left"/>
    </xf>
    <xf numFmtId="0" fontId="25" fillId="4" borderId="4" xfId="14" applyAlignment="1">
      <alignment horizontal="left"/>
      <protection locked="0"/>
    </xf>
    <xf numFmtId="9" fontId="0" fillId="0" borderId="22" xfId="0" applyNumberFormat="1" applyBorder="1" applyAlignment="1">
      <alignment horizontal="center"/>
    </xf>
    <xf numFmtId="9" fontId="0" fillId="0" borderId="23" xfId="0" applyNumberFormat="1" applyBorder="1" applyAlignment="1">
      <alignment horizontal="center"/>
    </xf>
    <xf numFmtId="9" fontId="0" fillId="0" borderId="24" xfId="0" applyNumberFormat="1" applyBorder="1" applyAlignment="1">
      <alignment horizontal="center"/>
    </xf>
    <xf numFmtId="9" fontId="0" fillId="0" borderId="25" xfId="0" applyNumberFormat="1" applyBorder="1" applyAlignment="1">
      <alignment horizontal="center"/>
    </xf>
    <xf numFmtId="9" fontId="0" fillId="0" borderId="26" xfId="0" applyNumberFormat="1" applyBorder="1" applyAlignment="1">
      <alignment horizontal="center"/>
    </xf>
    <xf numFmtId="9" fontId="0" fillId="0" borderId="27" xfId="0" applyNumberFormat="1" applyBorder="1" applyAlignment="1">
      <alignment horizontal="center"/>
    </xf>
  </cellXfs>
  <cellStyles count="42">
    <cellStyle name="Accounts Ref" xfId="15" xr:uid="{00000000-0005-0000-0000-000000000000}"/>
    <cellStyle name="Assumption" xfId="14" xr:uid="{00000000-0005-0000-0000-000001000000}"/>
    <cellStyle name="Comma" xfId="1" builtinId="3" customBuiltin="1"/>
    <cellStyle name="Comma [0]" xfId="2" builtinId="6" customBuiltin="1"/>
    <cellStyle name="Constraint" xfId="13" xr:uid="{00000000-0005-0000-0000-000004000000}"/>
    <cellStyle name="Currency" xfId="3" builtinId="4"/>
    <cellStyle name="Currency [0]" xfId="4" builtinId="7"/>
    <cellStyle name="Date" xfId="16" xr:uid="{00000000-0005-0000-0000-000007000000}"/>
    <cellStyle name="Date Heading" xfId="17" xr:uid="{00000000-0005-0000-0000-000008000000}"/>
    <cellStyle name="Empty" xfId="18" xr:uid="{00000000-0005-0000-0000-000009000000}"/>
    <cellStyle name="Error_Checks" xfId="19" xr:uid="{00000000-0005-0000-0000-00000A000000}"/>
    <cellStyle name="Heading 1" xfId="37" builtinId="16" customBuiltin="1"/>
    <cellStyle name="Heading 1 Number" xfId="41" xr:uid="{00000000-0005-0000-0000-00000C000000}"/>
    <cellStyle name="Heading 1 Text" xfId="10" xr:uid="{00000000-0005-0000-0000-00000D000000}"/>
    <cellStyle name="Heading 2" xfId="38" builtinId="17" customBuiltin="1"/>
    <cellStyle name="Heading 2 Text" xfId="11" xr:uid="{00000000-0005-0000-0000-00000F000000}"/>
    <cellStyle name="Heading 3" xfId="39" builtinId="18" customBuiltin="1"/>
    <cellStyle name="Heading 3 Text" xfId="12" xr:uid="{00000000-0005-0000-0000-000011000000}"/>
    <cellStyle name="Heading 4" xfId="6" builtinId="19" customBuiltin="1"/>
    <cellStyle name="Hyperlink" xfId="8" builtinId="8" customBuiltin="1"/>
    <cellStyle name="Hyperlink Text" xfId="20" xr:uid="{00000000-0005-0000-0000-000014000000}"/>
    <cellStyle name="Internal Ref" xfId="21" xr:uid="{00000000-0005-0000-0000-000015000000}"/>
    <cellStyle name="Line Calc" xfId="22" xr:uid="{00000000-0005-0000-0000-000016000000}"/>
    <cellStyle name="Line Total" xfId="23" xr:uid="{00000000-0005-0000-0000-000017000000}"/>
    <cellStyle name="Model Name" xfId="9" xr:uid="{00000000-0005-0000-0000-000018000000}"/>
    <cellStyle name="Normal" xfId="0" builtinId="0" customBuiltin="1"/>
    <cellStyle name="Normal 2" xfId="24" xr:uid="{00000000-0005-0000-0000-00001A000000}"/>
    <cellStyle name="Notes" xfId="25" xr:uid="{00000000-0005-0000-0000-00001B000000}"/>
    <cellStyle name="Numbers 0" xfId="26" xr:uid="{00000000-0005-0000-0000-00001C000000}"/>
    <cellStyle name="Parameter" xfId="27" xr:uid="{00000000-0005-0000-0000-00001D000000}"/>
    <cellStyle name="Percent" xfId="5" builtinId="5"/>
    <cellStyle name="Range Name Description" xfId="28" xr:uid="{00000000-0005-0000-0000-00001F000000}"/>
    <cellStyle name="Right Currency" xfId="29" xr:uid="{00000000-0005-0000-0000-000020000000}"/>
    <cellStyle name="Right Number" xfId="30" xr:uid="{00000000-0005-0000-0000-000021000000}"/>
    <cellStyle name="Row Ref" xfId="31" xr:uid="{00000000-0005-0000-0000-000022000000}"/>
    <cellStyle name="Row_Summary" xfId="32" xr:uid="{00000000-0005-0000-0000-000023000000}"/>
    <cellStyle name="Sheet Title" xfId="7" xr:uid="{00000000-0005-0000-0000-000024000000}"/>
    <cellStyle name="Table_Heading" xfId="33" xr:uid="{00000000-0005-0000-0000-000025000000}"/>
    <cellStyle name="Title" xfId="36" builtinId="15" customBuiltin="1"/>
    <cellStyle name="Total" xfId="40" builtinId="25" customBuiltin="1"/>
    <cellStyle name="Units" xfId="34" xr:uid="{00000000-0005-0000-0000-000028000000}"/>
    <cellStyle name="WIP" xfId="35" xr:uid="{00000000-0005-0000-0000-000029000000}"/>
  </cellStyles>
  <dxfs count="31"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3" tint="0.39994506668294322"/>
      </font>
      <fill>
        <patternFill>
          <bgColor theme="3" tint="0.39994506668294322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numFmt numFmtId="167" formatCode=";;;"/>
      <fill>
        <patternFill>
          <bgColor theme="6" tint="-0.499984740745262"/>
        </patternFill>
      </fill>
      <border>
        <vertical/>
        <horizontal/>
      </border>
    </dxf>
    <dxf>
      <font>
        <color theme="0"/>
      </font>
      <fill>
        <patternFill>
          <bgColor theme="3" tint="0.3999450666829432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numFmt numFmtId="167" formatCode=";;;"/>
      <fill>
        <patternFill>
          <bgColor theme="6" tint="-0.499984740745262"/>
        </patternFill>
      </fill>
      <border>
        <vertical/>
        <horizontal/>
      </border>
    </dxf>
    <dxf>
      <font>
        <color theme="0"/>
      </font>
      <fill>
        <patternFill>
          <bgColor theme="3" tint="0.3999450666829432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>
          <bgColor theme="6" tint="-0.499984740745262"/>
        </patternFill>
      </fill>
    </dxf>
    <dxf>
      <numFmt numFmtId="167" formatCode=";;;"/>
      <fill>
        <patternFill>
          <bgColor theme="6" tint="-0.499984740745262"/>
        </patternFill>
      </fill>
      <border>
        <vertical/>
        <horizontal/>
      </border>
    </dxf>
    <dxf>
      <font>
        <color theme="0"/>
      </font>
      <numFmt numFmtId="167" formatCode=";;;"/>
    </dxf>
    <dxf>
      <font>
        <color theme="0"/>
      </font>
      <numFmt numFmtId="167" formatCode=";;;"/>
    </dxf>
    <dxf>
      <font>
        <color theme="0"/>
      </font>
      <fill>
        <patternFill>
          <bgColor theme="6" tint="-0.499984740745262"/>
        </patternFill>
      </fill>
    </dxf>
    <dxf>
      <numFmt numFmtId="167" formatCode=";;;"/>
      <fill>
        <patternFill>
          <bgColor theme="6" tint="-0.499984740745262"/>
        </patternFill>
      </fill>
      <border>
        <vertical/>
        <horizontal/>
      </border>
    </dxf>
    <dxf>
      <font>
        <color theme="0"/>
      </font>
      <numFmt numFmtId="167" formatCode=";;;"/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ont>
        <b/>
        <i val="0"/>
      </font>
      <fill>
        <patternFill>
          <bgColor theme="1" tint="0.499984740745262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Invisible" pivot="0" table="0" count="0" xr9:uid="{BD406DF3-0F32-4176-B37B-2335DE17257C}"/>
    <tableStyle name="Table Style 1" pivot="0" count="3" xr9:uid="{00000000-0011-0000-FFFF-FFFF00000000}">
      <tableStyleElement type="headerRow" dxfId="30"/>
      <tableStyleElement type="firstRowStripe" dxfId="29"/>
      <tableStyleElement type="secondRowStripe" dxfId="2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6</xdr:row>
      <xdr:rowOff>168378</xdr:rowOff>
    </xdr:from>
    <xdr:to>
      <xdr:col>6</xdr:col>
      <xdr:colOff>334433</xdr:colOff>
      <xdr:row>11</xdr:row>
      <xdr:rowOff>117475</xdr:rowOff>
    </xdr:to>
    <xdr:pic>
      <xdr:nvPicPr>
        <xdr:cNvPr id="2" name="Picture 1" descr="SP Logo 0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7667" y="1533628"/>
          <a:ext cx="2048933" cy="7841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sumproduct.com/" TargetMode="External"/><Relationship Id="rId1" Type="http://schemas.openxmlformats.org/officeDocument/2006/relationships/hyperlink" Target="mailto:Sam.Ngo@sumproduct.com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2"/>
  <sheetViews>
    <sheetView showGridLines="0" zoomScaleNormal="100" workbookViewId="0"/>
  </sheetViews>
  <sheetFormatPr defaultRowHeight="12" x14ac:dyDescent="0.2"/>
  <cols>
    <col min="3" max="4" width="3.7109375" customWidth="1"/>
  </cols>
  <sheetData>
    <row r="1" spans="1:19" x14ac:dyDescent="0.2">
      <c r="A1" s="11"/>
    </row>
    <row r="3" spans="1:19" x14ac:dyDescent="0.2">
      <c r="A3" s="11" t="s">
        <v>1</v>
      </c>
    </row>
    <row r="5" spans="1:19" ht="20.25" x14ac:dyDescent="0.3">
      <c r="C5" s="40" t="str">
        <f>Client_Name</f>
        <v>SumProduct Pty Limited</v>
      </c>
      <c r="D5" s="7"/>
      <c r="E5" s="7"/>
      <c r="F5" s="7"/>
      <c r="G5" s="7"/>
      <c r="H5" s="7"/>
      <c r="I5" s="7"/>
      <c r="J5" s="7"/>
    </row>
    <row r="6" spans="1:19" ht="18" x14ac:dyDescent="0.25">
      <c r="C6" s="41" t="str">
        <f ca="1">Model_Name</f>
        <v>Waffle Chart.xlsm</v>
      </c>
      <c r="D6" s="7"/>
      <c r="E6" s="7"/>
      <c r="F6" s="7"/>
      <c r="G6" s="7"/>
      <c r="H6" s="7"/>
      <c r="I6" s="7"/>
      <c r="J6" s="7"/>
    </row>
    <row r="7" spans="1:19" ht="12.75" x14ac:dyDescent="0.2">
      <c r="C7" s="7"/>
      <c r="D7" s="7"/>
      <c r="E7" s="7"/>
      <c r="F7" s="7"/>
      <c r="G7" s="7"/>
      <c r="H7" s="7"/>
      <c r="I7" s="7"/>
      <c r="J7" s="7"/>
    </row>
    <row r="8" spans="1:19" ht="12.75" x14ac:dyDescent="0.2">
      <c r="C8" s="7"/>
      <c r="D8" s="7"/>
      <c r="E8" s="7"/>
      <c r="F8" s="7"/>
      <c r="G8" s="7"/>
      <c r="H8" s="7"/>
      <c r="I8" s="7"/>
      <c r="J8" s="7"/>
    </row>
    <row r="9" spans="1:19" ht="12.75" x14ac:dyDescent="0.2">
      <c r="C9" s="7"/>
      <c r="D9" s="7"/>
      <c r="E9" s="7"/>
      <c r="F9" s="7"/>
      <c r="G9" s="7"/>
      <c r="H9" s="7"/>
      <c r="I9" s="7"/>
      <c r="J9" s="7"/>
    </row>
    <row r="10" spans="1:19" ht="12.75" x14ac:dyDescent="0.2">
      <c r="C10" s="7"/>
      <c r="D10" s="7"/>
      <c r="E10" s="7"/>
      <c r="F10" s="7"/>
      <c r="G10" s="7"/>
      <c r="H10" s="7"/>
      <c r="I10" s="7"/>
      <c r="J10" s="7"/>
    </row>
    <row r="11" spans="1:19" ht="15" x14ac:dyDescent="0.25">
      <c r="C11" s="7"/>
      <c r="D11" s="7"/>
      <c r="E11" s="7"/>
      <c r="F11" s="7"/>
      <c r="G11" s="7"/>
      <c r="H11" s="7"/>
      <c r="I11" s="7"/>
      <c r="J11" s="7"/>
      <c r="S11" s="38"/>
    </row>
    <row r="12" spans="1:19" ht="12.75" x14ac:dyDescent="0.2">
      <c r="C12" s="7"/>
      <c r="D12" s="7"/>
      <c r="E12" s="7"/>
      <c r="F12" s="7"/>
      <c r="G12" s="7"/>
      <c r="H12" s="7"/>
      <c r="I12" s="7"/>
      <c r="J12" s="7"/>
    </row>
    <row r="13" spans="1:19" ht="12.75" x14ac:dyDescent="0.2">
      <c r="C13" s="7"/>
      <c r="D13" s="7"/>
      <c r="E13" s="7"/>
      <c r="F13" s="7"/>
      <c r="G13" s="7"/>
      <c r="H13" s="7"/>
      <c r="I13" s="7"/>
      <c r="J13" s="7"/>
    </row>
    <row r="14" spans="1:19" ht="12.75" x14ac:dyDescent="0.2">
      <c r="C14" s="8" t="s">
        <v>70</v>
      </c>
      <c r="D14" s="9"/>
      <c r="E14" s="7"/>
      <c r="F14" s="7"/>
      <c r="G14" s="7"/>
      <c r="H14" s="7"/>
      <c r="I14" s="7"/>
      <c r="J14" s="7"/>
    </row>
    <row r="15" spans="1:19" ht="12.75" x14ac:dyDescent="0.2">
      <c r="C15" s="9"/>
      <c r="D15" s="9"/>
      <c r="E15" s="7"/>
      <c r="F15" s="7"/>
      <c r="G15" s="7"/>
      <c r="H15" s="7"/>
      <c r="I15" s="7"/>
      <c r="J15" s="7"/>
    </row>
    <row r="16" spans="1:19" ht="12.75" x14ac:dyDescent="0.2">
      <c r="C16" s="8" t="s">
        <v>19</v>
      </c>
      <c r="D16" s="9"/>
      <c r="E16" s="7"/>
      <c r="F16" s="7"/>
      <c r="G16" s="7"/>
      <c r="H16" s="7"/>
      <c r="I16" s="7"/>
      <c r="J16" s="7"/>
    </row>
    <row r="17" spans="3:10" ht="12.75" x14ac:dyDescent="0.2">
      <c r="C17" s="69" t="s">
        <v>72</v>
      </c>
      <c r="D17" s="69"/>
      <c r="E17" s="69"/>
      <c r="F17" s="69"/>
      <c r="G17" s="69"/>
      <c r="H17" s="69"/>
      <c r="I17" s="69"/>
      <c r="J17" s="69"/>
    </row>
    <row r="18" spans="3:10" ht="12.75" x14ac:dyDescent="0.2">
      <c r="C18" s="69"/>
      <c r="D18" s="69"/>
      <c r="E18" s="69"/>
      <c r="F18" s="69"/>
      <c r="G18" s="69"/>
      <c r="H18" s="69"/>
      <c r="I18" s="69"/>
      <c r="J18" s="69"/>
    </row>
    <row r="19" spans="3:10" ht="12.75" x14ac:dyDescent="0.2">
      <c r="C19" s="10"/>
      <c r="D19" s="9"/>
      <c r="E19" s="7"/>
      <c r="F19" s="7"/>
      <c r="G19" s="7"/>
      <c r="H19" s="7"/>
      <c r="I19" s="7"/>
      <c r="J19" s="7"/>
    </row>
    <row r="20" spans="3:10" ht="12.75" x14ac:dyDescent="0.2">
      <c r="C20" s="10"/>
      <c r="D20" s="9"/>
      <c r="E20" s="7"/>
      <c r="F20" s="7"/>
      <c r="G20" s="7"/>
      <c r="H20" s="7"/>
      <c r="I20" s="7"/>
      <c r="J20" s="7"/>
    </row>
    <row r="21" spans="3:10" ht="12.75" x14ac:dyDescent="0.2">
      <c r="C21" s="10" t="s">
        <v>20</v>
      </c>
      <c r="D21" s="9"/>
      <c r="E21" s="7"/>
      <c r="F21" s="7"/>
      <c r="G21" s="70" t="s">
        <v>71</v>
      </c>
      <c r="H21" s="70"/>
      <c r="I21" s="70"/>
      <c r="J21" s="7"/>
    </row>
    <row r="22" spans="3:10" ht="12.75" x14ac:dyDescent="0.2">
      <c r="C22" s="10" t="s">
        <v>21</v>
      </c>
      <c r="D22" s="9"/>
      <c r="E22" s="7"/>
      <c r="F22" s="7"/>
      <c r="G22" s="70" t="s">
        <v>22</v>
      </c>
      <c r="H22" s="70"/>
      <c r="I22" s="70"/>
      <c r="J22" s="7"/>
    </row>
  </sheetData>
  <mergeCells count="4">
    <mergeCell ref="C17:J17"/>
    <mergeCell ref="C18:J18"/>
    <mergeCell ref="G21:I21"/>
    <mergeCell ref="G22:I22"/>
  </mergeCells>
  <hyperlinks>
    <hyperlink ref="G21" r:id="rId1" xr:uid="{00000000-0004-0000-0000-000000000000}"/>
    <hyperlink ref="G22" r:id="rId2" xr:uid="{00000000-0004-0000-0000-000001000000}"/>
    <hyperlink ref="A3" location="HL_Navigator" display="Navigator" xr:uid="{00000000-0004-0000-0000-000002000000}"/>
  </hyperlinks>
  <pageMargins left="0.7" right="0.7" top="0.75" bottom="0.75" header="0.3" footer="0.3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4"/>
  <sheetViews>
    <sheetView showGridLines="0" zoomScaleNormal="100" workbookViewId="0">
      <pane ySplit="4" topLeftCell="A5" activePane="bottomLeft" state="frozen"/>
      <selection pane="bottomLeft" activeCell="A5" sqref="A5"/>
    </sheetView>
  </sheetViews>
  <sheetFormatPr defaultRowHeight="12" x14ac:dyDescent="0.2"/>
  <cols>
    <col min="1" max="5" width="3.7109375" customWidth="1"/>
    <col min="6" max="6" width="17.7109375" customWidth="1"/>
  </cols>
  <sheetData>
    <row r="1" spans="1:12" ht="20.25" x14ac:dyDescent="0.3">
      <c r="A1" s="40" t="s">
        <v>1</v>
      </c>
      <c r="F1" s="12"/>
      <c r="G1" s="12"/>
    </row>
    <row r="2" spans="1:12" ht="18" x14ac:dyDescent="0.25">
      <c r="A2" s="41" t="str">
        <f ca="1">Model_Name</f>
        <v>Waffle Chart.xlsm</v>
      </c>
    </row>
    <row r="3" spans="1:12" x14ac:dyDescent="0.2">
      <c r="A3" s="11" t="s">
        <v>1</v>
      </c>
      <c r="B3" s="11"/>
      <c r="C3" s="11"/>
      <c r="D3" s="11"/>
      <c r="E3" s="11"/>
    </row>
    <row r="4" spans="1:12" ht="14.25" x14ac:dyDescent="0.2">
      <c r="E4" t="s">
        <v>2</v>
      </c>
      <c r="G4" s="24">
        <f>Overall_Error_Check</f>
        <v>0</v>
      </c>
    </row>
    <row r="7" spans="1:12" ht="16.5" thickBot="1" x14ac:dyDescent="0.3">
      <c r="B7" s="42">
        <v>1</v>
      </c>
      <c r="C7" s="42" t="s">
        <v>23</v>
      </c>
      <c r="D7" s="42"/>
      <c r="E7" s="42"/>
      <c r="F7" s="42"/>
      <c r="G7" s="42"/>
      <c r="H7" s="42"/>
      <c r="I7" s="42"/>
      <c r="J7" s="42"/>
      <c r="K7" s="42"/>
      <c r="L7" s="42"/>
    </row>
    <row r="8" spans="1:12" ht="12.75" thickTop="1" x14ac:dyDescent="0.2"/>
    <row r="9" spans="1:12" x14ac:dyDescent="0.2">
      <c r="F9" s="11" t="s">
        <v>24</v>
      </c>
    </row>
    <row r="10" spans="1:12" x14ac:dyDescent="0.2">
      <c r="F10" s="11" t="s">
        <v>25</v>
      </c>
    </row>
    <row r="11" spans="1:12" x14ac:dyDescent="0.2">
      <c r="F11" s="11" t="s">
        <v>0</v>
      </c>
    </row>
    <row r="12" spans="1:12" x14ac:dyDescent="0.2">
      <c r="F12" s="11" t="s">
        <v>81</v>
      </c>
    </row>
    <row r="13" spans="1:12" x14ac:dyDescent="0.2">
      <c r="F13" s="11" t="s">
        <v>82</v>
      </c>
    </row>
    <row r="14" spans="1:12" x14ac:dyDescent="0.2">
      <c r="F14" s="11" t="s">
        <v>64</v>
      </c>
    </row>
  </sheetData>
  <conditionalFormatting sqref="G4">
    <cfRule type="cellIs" dxfId="27" priority="1" operator="equal">
      <formula>1</formula>
    </cfRule>
  </conditionalFormatting>
  <hyperlinks>
    <hyperlink ref="A3:E3" location="HL_Navigator" tooltip="Go to Navigator (Table of Contents)" display="Navigator" xr:uid="{00000000-0004-0000-0100-000000000000}"/>
    <hyperlink ref="F9" location="HL_1" display="Cover" xr:uid="{262755C6-DD6B-45DB-ABA0-317598500EAF}"/>
    <hyperlink ref="F10" location="HL_3" display="Style Guide" xr:uid="{D1DA64F0-CEFF-4265-9915-4377CD02C937}"/>
    <hyperlink ref="F11" location="HL_4" display="Model Parameters" xr:uid="{F28C3890-F09D-4DDF-BD2B-AE70D972AEC4}"/>
    <hyperlink ref="F12" location="HL_5" display="Simple Waffle Chart" xr:uid="{4177675C-F595-433A-8174-0D4B20E9F069}"/>
    <hyperlink ref="F13" location="HL_6" display="Stacked Waffle Chart" xr:uid="{403F5883-BB8E-4541-B12A-ACCD97C9EB06}"/>
    <hyperlink ref="F14" location="HL_7" display="Error Checks" xr:uid="{99C84315-94A8-4F1B-B0BF-0F22352E1CC1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/>
  </sheetPr>
  <dimension ref="A1:O81"/>
  <sheetViews>
    <sheetView showGridLines="0" zoomScaleNormal="100" workbookViewId="0">
      <pane ySplit="4" topLeftCell="A5" activePane="bottomLeft" state="frozen"/>
      <selection pane="bottomLeft" activeCell="A3" sqref="A3:E3"/>
    </sheetView>
  </sheetViews>
  <sheetFormatPr defaultColWidth="0" defaultRowHeight="12" outlineLevelRow="1" x14ac:dyDescent="0.2"/>
  <cols>
    <col min="1" max="5" width="3.7109375" customWidth="1"/>
    <col min="6" max="7" width="9.140625" customWidth="1"/>
    <col min="8" max="8" width="1.7109375" customWidth="1"/>
    <col min="9" max="9" width="17.28515625" bestFit="1" customWidth="1"/>
    <col min="10" max="10" width="1.7109375" customWidth="1"/>
    <col min="11" max="11" width="23.42578125" customWidth="1"/>
    <col min="12" max="13" width="9.140625" customWidth="1"/>
    <col min="14" max="14" width="1.7109375" customWidth="1"/>
    <col min="15" max="15" width="0" hidden="1" customWidth="1"/>
    <col min="16" max="16384" width="9.140625" hidden="1"/>
  </cols>
  <sheetData>
    <row r="1" spans="1:13" ht="20.25" x14ac:dyDescent="0.3">
      <c r="A1" s="40" t="str">
        <f ca="1">IF(ISERROR(RIGHT(CELL("filename",A1),LEN(CELL("filename",A1))-FIND("]",CELL("filename",A1)))),
"",
RIGHT(CELL("filename",A1),LEN(CELL("filename",A1))-FIND("]",CELL("filename",A1))))</f>
        <v>Style Guide</v>
      </c>
      <c r="K1" s="11"/>
    </row>
    <row r="2" spans="1:13" ht="18" x14ac:dyDescent="0.25">
      <c r="A2" s="41" t="str">
        <f ca="1">Model_Name</f>
        <v>Waffle Chart.xlsm</v>
      </c>
    </row>
    <row r="3" spans="1:13" x14ac:dyDescent="0.2">
      <c r="A3" s="70" t="s">
        <v>1</v>
      </c>
      <c r="B3" s="70"/>
      <c r="C3" s="70"/>
      <c r="D3" s="70"/>
      <c r="E3" s="70"/>
    </row>
    <row r="4" spans="1:13" ht="14.25" x14ac:dyDescent="0.2">
      <c r="E4" t="s">
        <v>2</v>
      </c>
      <c r="I4" s="1">
        <f>Overall_Error_Check</f>
        <v>0</v>
      </c>
    </row>
    <row r="5" spans="1:13" x14ac:dyDescent="0.2">
      <c r="A5" s="11"/>
    </row>
    <row r="6" spans="1:13" ht="16.5" thickBot="1" x14ac:dyDescent="0.3">
      <c r="B6" s="42">
        <f>MAX($B$5:$B5)+1</f>
        <v>1</v>
      </c>
      <c r="C6" s="2" t="s">
        <v>26</v>
      </c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 ht="12.75" outlineLevel="1" thickTop="1" x14ac:dyDescent="0.2"/>
    <row r="8" spans="1:13" outlineLevel="1" x14ac:dyDescent="0.2">
      <c r="C8" s="72" t="s">
        <v>27</v>
      </c>
      <c r="D8" s="72"/>
      <c r="E8" s="72"/>
      <c r="F8" s="72"/>
      <c r="G8" s="72"/>
      <c r="H8" s="13"/>
      <c r="I8" s="13" t="s">
        <v>28</v>
      </c>
      <c r="J8" s="13"/>
      <c r="K8" s="13" t="s">
        <v>29</v>
      </c>
    </row>
    <row r="9" spans="1:13" outlineLevel="1" x14ac:dyDescent="0.2">
      <c r="C9" s="71"/>
      <c r="D9" s="71"/>
      <c r="E9" s="71"/>
      <c r="F9" s="71"/>
      <c r="G9" s="71"/>
      <c r="K9" s="17"/>
    </row>
    <row r="10" spans="1:13" ht="20.25" outlineLevel="1" x14ac:dyDescent="0.3">
      <c r="C10" s="71" t="s">
        <v>30</v>
      </c>
      <c r="D10" s="71"/>
      <c r="E10" s="71"/>
      <c r="F10" s="71"/>
      <c r="G10" s="71"/>
      <c r="I10" s="14" t="str">
        <f>C10</f>
        <v>Sheet Title</v>
      </c>
      <c r="K10" s="15" t="s">
        <v>30</v>
      </c>
    </row>
    <row r="11" spans="1:13" ht="18" outlineLevel="1" x14ac:dyDescent="0.25">
      <c r="C11" s="71" t="s">
        <v>5</v>
      </c>
      <c r="D11" s="71"/>
      <c r="E11" s="71"/>
      <c r="F11" s="71"/>
      <c r="G11" s="71"/>
      <c r="I11" s="16" t="str">
        <f>C11</f>
        <v>Model Name</v>
      </c>
      <c r="K11" s="15" t="s">
        <v>5</v>
      </c>
    </row>
    <row r="12" spans="1:13" outlineLevel="1" x14ac:dyDescent="0.2">
      <c r="C12" s="71"/>
      <c r="D12" s="71"/>
      <c r="E12" s="71"/>
      <c r="F12" s="71"/>
      <c r="G12" s="71"/>
      <c r="K12" s="17"/>
    </row>
    <row r="13" spans="1:13" ht="16.5" outlineLevel="1" thickBot="1" x14ac:dyDescent="0.3">
      <c r="C13" s="71" t="s">
        <v>31</v>
      </c>
      <c r="D13" s="71"/>
      <c r="E13" s="71"/>
      <c r="F13" s="71"/>
      <c r="G13" s="71"/>
      <c r="I13" s="39" t="str">
        <f>C13</f>
        <v>Header 1</v>
      </c>
      <c r="K13" s="15" t="s">
        <v>31</v>
      </c>
    </row>
    <row r="14" spans="1:13" ht="17.25" outlineLevel="1" thickTop="1" x14ac:dyDescent="0.25">
      <c r="C14" s="71" t="s">
        <v>32</v>
      </c>
      <c r="D14" s="71"/>
      <c r="E14" s="71"/>
      <c r="F14" s="71"/>
      <c r="G14" s="71"/>
      <c r="I14" s="3" t="str">
        <f>C14</f>
        <v>Header 2</v>
      </c>
      <c r="K14" s="15" t="s">
        <v>32</v>
      </c>
    </row>
    <row r="15" spans="1:13" ht="15" outlineLevel="1" x14ac:dyDescent="0.25">
      <c r="C15" s="71" t="s">
        <v>33</v>
      </c>
      <c r="D15" s="71"/>
      <c r="E15" s="71"/>
      <c r="F15" s="71"/>
      <c r="G15" s="71"/>
      <c r="I15" s="4" t="str">
        <f>C15</f>
        <v>Header 3</v>
      </c>
      <c r="K15" s="15" t="s">
        <v>33</v>
      </c>
    </row>
    <row r="16" spans="1:13" ht="15" outlineLevel="1" x14ac:dyDescent="0.25">
      <c r="C16" s="71" t="s">
        <v>34</v>
      </c>
      <c r="D16" s="71"/>
      <c r="E16" s="71"/>
      <c r="F16" s="71"/>
      <c r="G16" s="71"/>
      <c r="I16" s="18" t="str">
        <f>C16</f>
        <v>Header 4</v>
      </c>
      <c r="K16" s="15" t="s">
        <v>34</v>
      </c>
    </row>
    <row r="17" spans="2:14" outlineLevel="1" x14ac:dyDescent="0.2">
      <c r="C17" s="71"/>
      <c r="D17" s="71"/>
      <c r="E17" s="71"/>
      <c r="F17" s="71"/>
      <c r="G17" s="71"/>
      <c r="K17" s="17"/>
    </row>
    <row r="18" spans="2:14" ht="15" outlineLevel="1" x14ac:dyDescent="0.25">
      <c r="C18" s="71" t="s">
        <v>35</v>
      </c>
      <c r="D18" s="71"/>
      <c r="E18" s="71"/>
      <c r="F18" s="71"/>
      <c r="G18" s="71"/>
      <c r="I18" s="19" t="str">
        <f>C18</f>
        <v>Notes</v>
      </c>
      <c r="K18" s="15" t="s">
        <v>35</v>
      </c>
    </row>
    <row r="19" spans="2:14" outlineLevel="1" x14ac:dyDescent="0.2">
      <c r="C19" s="71"/>
      <c r="D19" s="71"/>
      <c r="E19" s="71"/>
      <c r="F19" s="71"/>
      <c r="G19" s="71"/>
      <c r="K19" s="17"/>
      <c r="N19" s="19"/>
    </row>
    <row r="20" spans="2:14" ht="15" outlineLevel="1" x14ac:dyDescent="0.25">
      <c r="C20" s="71" t="s">
        <v>36</v>
      </c>
      <c r="D20" s="71"/>
      <c r="E20" s="71"/>
      <c r="F20" s="71"/>
      <c r="G20" s="71"/>
      <c r="I20" s="13" t="str">
        <f>C20</f>
        <v>Table Heading</v>
      </c>
      <c r="K20" s="15" t="s">
        <v>36</v>
      </c>
    </row>
    <row r="21" spans="2:14" outlineLevel="1" x14ac:dyDescent="0.2"/>
    <row r="22" spans="2:14" outlineLevel="1" x14ac:dyDescent="0.2"/>
    <row r="23" spans="2:14" ht="16.5" thickBot="1" x14ac:dyDescent="0.3">
      <c r="B23" s="42">
        <f>MAX($B$5:$B22)+1</f>
        <v>2</v>
      </c>
      <c r="C23" s="2" t="s">
        <v>37</v>
      </c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2:14" ht="12.75" outlineLevel="1" thickTop="1" x14ac:dyDescent="0.2"/>
    <row r="25" spans="2:14" outlineLevel="1" x14ac:dyDescent="0.2">
      <c r="C25" s="72" t="s">
        <v>27</v>
      </c>
      <c r="D25" s="72"/>
      <c r="E25" s="72"/>
      <c r="F25" s="72"/>
      <c r="G25" s="72"/>
      <c r="H25" s="13"/>
      <c r="I25" s="13" t="s">
        <v>28</v>
      </c>
      <c r="J25" s="13"/>
      <c r="K25" s="13" t="s">
        <v>29</v>
      </c>
    </row>
    <row r="26" spans="2:14" ht="15" outlineLevel="1" x14ac:dyDescent="0.25">
      <c r="C26" s="71"/>
      <c r="D26" s="71"/>
      <c r="E26" s="71"/>
      <c r="F26" s="71"/>
      <c r="G26" s="71"/>
      <c r="K26" s="15"/>
    </row>
    <row r="27" spans="2:14" ht="15" outlineLevel="1" x14ac:dyDescent="0.25">
      <c r="C27" s="71" t="s">
        <v>38</v>
      </c>
      <c r="D27" s="71"/>
      <c r="E27" s="71"/>
      <c r="F27" s="71"/>
      <c r="G27" s="71"/>
      <c r="I27" s="20" t="s">
        <v>38</v>
      </c>
      <c r="K27" s="21" t="str">
        <f>C27</f>
        <v>Assumption</v>
      </c>
    </row>
    <row r="28" spans="2:14" ht="15" outlineLevel="1" x14ac:dyDescent="0.25">
      <c r="C28" s="71"/>
      <c r="D28" s="71"/>
      <c r="E28" s="71"/>
      <c r="F28" s="71"/>
      <c r="G28" s="71"/>
      <c r="K28" s="21"/>
    </row>
    <row r="29" spans="2:14" ht="15" outlineLevel="1" x14ac:dyDescent="0.25">
      <c r="C29" s="71" t="s">
        <v>39</v>
      </c>
      <c r="D29" s="71"/>
      <c r="E29" s="71"/>
      <c r="F29" s="71"/>
      <c r="G29" s="71"/>
      <c r="I29" s="22" t="str">
        <f>C29</f>
        <v>Constraint</v>
      </c>
      <c r="K29" s="21" t="str">
        <f>C29</f>
        <v>Constraint</v>
      </c>
    </row>
    <row r="30" spans="2:14" ht="15" outlineLevel="1" x14ac:dyDescent="0.25">
      <c r="C30" s="71"/>
      <c r="D30" s="71"/>
      <c r="E30" s="71"/>
      <c r="F30" s="71"/>
      <c r="G30" s="71"/>
      <c r="K30" s="21"/>
    </row>
    <row r="31" spans="2:14" ht="15" outlineLevel="1" x14ac:dyDescent="0.25">
      <c r="C31" s="71" t="s">
        <v>40</v>
      </c>
      <c r="D31" s="71"/>
      <c r="E31" s="71"/>
      <c r="F31" s="71"/>
      <c r="G31" s="71"/>
      <c r="I31" s="23"/>
      <c r="K31" s="21" t="str">
        <f>C31</f>
        <v>Empty</v>
      </c>
    </row>
    <row r="32" spans="2:14" ht="15" outlineLevel="1" x14ac:dyDescent="0.25">
      <c r="C32" s="71"/>
      <c r="D32" s="71"/>
      <c r="E32" s="71"/>
      <c r="F32" s="71"/>
      <c r="G32" s="71"/>
      <c r="K32" s="21"/>
    </row>
    <row r="33" spans="3:11" ht="15" outlineLevel="1" x14ac:dyDescent="0.25">
      <c r="C33" t="s">
        <v>41</v>
      </c>
      <c r="I33" s="24">
        <v>0</v>
      </c>
      <c r="K33" s="21" t="str">
        <f>C33</f>
        <v>Error Check</v>
      </c>
    </row>
    <row r="34" spans="3:11" ht="15" outlineLevel="1" x14ac:dyDescent="0.25">
      <c r="K34" s="21"/>
    </row>
    <row r="35" spans="3:11" ht="15" outlineLevel="1" x14ac:dyDescent="0.25">
      <c r="C35" s="71" t="s">
        <v>42</v>
      </c>
      <c r="D35" s="71"/>
      <c r="E35" s="71"/>
      <c r="F35" s="71"/>
      <c r="G35" s="71"/>
      <c r="I35" s="11" t="s">
        <v>42</v>
      </c>
      <c r="K35" s="21" t="str">
        <f>C35</f>
        <v>Hyperlink</v>
      </c>
    </row>
    <row r="36" spans="3:11" ht="15" outlineLevel="1" x14ac:dyDescent="0.25">
      <c r="C36" s="71"/>
      <c r="D36" s="71"/>
      <c r="E36" s="71"/>
      <c r="F36" s="71"/>
      <c r="G36" s="71"/>
      <c r="K36" s="21"/>
    </row>
    <row r="37" spans="3:11" ht="15" outlineLevel="1" x14ac:dyDescent="0.25">
      <c r="C37" s="71" t="s">
        <v>43</v>
      </c>
      <c r="D37" s="71"/>
      <c r="E37" s="71"/>
      <c r="F37" s="71"/>
      <c r="G37" s="71"/>
      <c r="I37" s="25" t="str">
        <f>'Error Checks'!E12</f>
        <v>Example</v>
      </c>
      <c r="K37" s="21" t="str">
        <f>C37</f>
        <v>Internal Reference</v>
      </c>
    </row>
    <row r="38" spans="3:11" ht="15" outlineLevel="1" x14ac:dyDescent="0.25">
      <c r="C38" s="71"/>
      <c r="D38" s="71"/>
      <c r="E38" s="71"/>
      <c r="F38" s="71"/>
      <c r="G38" s="71"/>
      <c r="K38" s="21"/>
    </row>
    <row r="39" spans="3:11" ht="15" outlineLevel="1" x14ac:dyDescent="0.25">
      <c r="C39" s="71" t="s">
        <v>44</v>
      </c>
      <c r="D39" s="71"/>
      <c r="E39" s="71"/>
      <c r="F39" s="71"/>
      <c r="G39" s="71"/>
      <c r="I39" s="26">
        <v>77</v>
      </c>
      <c r="K39" s="21" t="s">
        <v>45</v>
      </c>
    </row>
    <row r="40" spans="3:11" ht="15" outlineLevel="1" x14ac:dyDescent="0.25">
      <c r="C40" s="71"/>
      <c r="D40" s="71"/>
      <c r="E40" s="71"/>
      <c r="F40" s="71"/>
      <c r="G40" s="71"/>
      <c r="K40" s="21"/>
    </row>
    <row r="41" spans="3:11" ht="15" outlineLevel="1" x14ac:dyDescent="0.25">
      <c r="C41" s="71" t="s">
        <v>46</v>
      </c>
      <c r="D41" s="71"/>
      <c r="E41" s="71"/>
      <c r="F41" s="71"/>
      <c r="G41" s="71"/>
      <c r="I41" s="27">
        <f>I39</f>
        <v>77</v>
      </c>
      <c r="K41" s="21" t="str">
        <f>C41</f>
        <v>Line Total</v>
      </c>
    </row>
    <row r="42" spans="3:11" ht="15" outlineLevel="1" x14ac:dyDescent="0.25">
      <c r="C42" s="71"/>
      <c r="D42" s="71"/>
      <c r="E42" s="71"/>
      <c r="F42" s="71"/>
      <c r="G42" s="71"/>
      <c r="K42" s="21"/>
    </row>
    <row r="43" spans="3:11" ht="15" outlineLevel="1" x14ac:dyDescent="0.25">
      <c r="C43" s="71" t="s">
        <v>47</v>
      </c>
      <c r="D43" s="71"/>
      <c r="E43" s="71"/>
      <c r="F43" s="71"/>
      <c r="G43" s="71"/>
      <c r="I43" s="28">
        <v>365</v>
      </c>
      <c r="K43" s="21" t="str">
        <f>C43</f>
        <v>Parameter</v>
      </c>
    </row>
    <row r="44" spans="3:11" ht="15" outlineLevel="1" x14ac:dyDescent="0.25">
      <c r="C44" s="71"/>
      <c r="D44" s="71"/>
      <c r="E44" s="71"/>
      <c r="F44" s="71"/>
      <c r="G44" s="71"/>
      <c r="K44" s="21"/>
    </row>
    <row r="45" spans="3:11" ht="15" outlineLevel="1" x14ac:dyDescent="0.25">
      <c r="C45" s="71" t="s">
        <v>48</v>
      </c>
      <c r="D45" s="71"/>
      <c r="E45" s="71"/>
      <c r="F45" s="71"/>
      <c r="G45" s="71"/>
      <c r="I45" s="29" t="s">
        <v>49</v>
      </c>
      <c r="K45" s="21" t="str">
        <f>C45</f>
        <v>Range Name Description</v>
      </c>
    </row>
    <row r="46" spans="3:11" ht="15" outlineLevel="1" x14ac:dyDescent="0.25">
      <c r="C46" s="71"/>
      <c r="D46" s="71"/>
      <c r="E46" s="71"/>
      <c r="F46" s="71"/>
      <c r="G46" s="71"/>
      <c r="K46" s="21"/>
    </row>
    <row r="47" spans="3:11" ht="15" outlineLevel="1" x14ac:dyDescent="0.25">
      <c r="C47" s="71" t="s">
        <v>50</v>
      </c>
      <c r="D47" s="71"/>
      <c r="E47" s="71"/>
      <c r="F47" s="71"/>
      <c r="G47" s="71"/>
      <c r="I47" s="30">
        <f>ROW(C47)</f>
        <v>47</v>
      </c>
      <c r="K47" s="21" t="s">
        <v>51</v>
      </c>
    </row>
    <row r="48" spans="3:11" ht="15" outlineLevel="1" x14ac:dyDescent="0.25">
      <c r="C48" s="71"/>
      <c r="D48" s="71"/>
      <c r="E48" s="71"/>
      <c r="F48" s="71"/>
      <c r="G48" s="71"/>
      <c r="K48" s="21"/>
    </row>
    <row r="49" spans="2:13" ht="15" outlineLevel="1" x14ac:dyDescent="0.25">
      <c r="C49" s="71" t="s">
        <v>52</v>
      </c>
      <c r="D49" s="71"/>
      <c r="E49" s="71"/>
      <c r="F49" s="71"/>
      <c r="G49" s="71"/>
      <c r="I49" s="31">
        <f>I41</f>
        <v>77</v>
      </c>
      <c r="K49" s="21" t="str">
        <f>C49</f>
        <v>Row Summary</v>
      </c>
    </row>
    <row r="50" spans="2:13" ht="15" outlineLevel="1" x14ac:dyDescent="0.25">
      <c r="C50" s="71"/>
      <c r="D50" s="71"/>
      <c r="E50" s="71"/>
      <c r="F50" s="71"/>
      <c r="G50" s="71"/>
      <c r="K50" s="21"/>
    </row>
    <row r="51" spans="2:13" ht="15" outlineLevel="1" x14ac:dyDescent="0.25">
      <c r="C51" s="71" t="s">
        <v>53</v>
      </c>
      <c r="D51" s="71"/>
      <c r="E51" s="71"/>
      <c r="F51" s="71"/>
      <c r="G51" s="71"/>
      <c r="I51" s="32" t="s">
        <v>68</v>
      </c>
      <c r="K51" s="21" t="str">
        <f>C51</f>
        <v>Units</v>
      </c>
    </row>
    <row r="52" spans="2:13" ht="15" outlineLevel="1" x14ac:dyDescent="0.25">
      <c r="C52" s="71"/>
      <c r="D52" s="71"/>
      <c r="E52" s="71"/>
      <c r="F52" s="71"/>
      <c r="G52" s="71"/>
      <c r="K52" s="21"/>
    </row>
    <row r="53" spans="2:13" ht="15" outlineLevel="1" x14ac:dyDescent="0.25">
      <c r="C53" s="71" t="s">
        <v>54</v>
      </c>
      <c r="D53" s="71"/>
      <c r="E53" s="71"/>
      <c r="F53" s="71"/>
      <c r="G53" s="71"/>
      <c r="I53" s="33"/>
      <c r="K53" s="21" t="str">
        <f>C53</f>
        <v>WIP</v>
      </c>
    </row>
    <row r="54" spans="2:13" ht="15" outlineLevel="1" x14ac:dyDescent="0.25">
      <c r="C54" s="71"/>
      <c r="D54" s="71"/>
      <c r="E54" s="71"/>
      <c r="F54" s="71"/>
      <c r="G54" s="71"/>
      <c r="K54" s="21"/>
    </row>
    <row r="55" spans="2:13" outlineLevel="1" x14ac:dyDescent="0.2">
      <c r="C55" s="71"/>
      <c r="D55" s="71"/>
      <c r="E55" s="71"/>
      <c r="F55" s="71"/>
      <c r="G55" s="71"/>
    </row>
    <row r="56" spans="2:13" ht="16.5" thickBot="1" x14ac:dyDescent="0.3">
      <c r="B56" s="42">
        <f>MAX($B$5:$B55)+1</f>
        <v>3</v>
      </c>
      <c r="C56" s="2" t="s">
        <v>55</v>
      </c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2:13" ht="12.75" outlineLevel="1" thickTop="1" x14ac:dyDescent="0.2"/>
    <row r="58" spans="2:13" outlineLevel="1" x14ac:dyDescent="0.2">
      <c r="C58" s="72" t="s">
        <v>27</v>
      </c>
      <c r="D58" s="72"/>
      <c r="E58" s="72"/>
      <c r="F58" s="72"/>
      <c r="G58" s="72"/>
      <c r="H58" s="13"/>
      <c r="I58" s="13" t="s">
        <v>28</v>
      </c>
      <c r="J58" s="13"/>
      <c r="K58" s="13" t="s">
        <v>29</v>
      </c>
    </row>
    <row r="59" spans="2:13" outlineLevel="1" x14ac:dyDescent="0.2"/>
    <row r="60" spans="2:13" ht="15" outlineLevel="1" x14ac:dyDescent="0.25">
      <c r="C60" s="71" t="s">
        <v>56</v>
      </c>
      <c r="D60" s="71"/>
      <c r="E60" s="71"/>
      <c r="F60" s="71"/>
      <c r="G60" s="71"/>
      <c r="I60" s="43">
        <v>123456.789</v>
      </c>
      <c r="K60" s="21" t="str">
        <f t="shared" ref="K60:K66" si="0">C60</f>
        <v>Comma</v>
      </c>
    </row>
    <row r="61" spans="2:13" ht="15" outlineLevel="1" x14ac:dyDescent="0.25">
      <c r="C61" s="71"/>
      <c r="D61" s="71"/>
      <c r="E61" s="71"/>
      <c r="F61" s="71"/>
      <c r="G61" s="71"/>
      <c r="K61" s="21"/>
    </row>
    <row r="62" spans="2:13" ht="15" outlineLevel="1" x14ac:dyDescent="0.25">
      <c r="C62" s="71" t="s">
        <v>57</v>
      </c>
      <c r="D62" s="71"/>
      <c r="E62" s="71"/>
      <c r="F62" s="71"/>
      <c r="G62" s="71"/>
      <c r="I62" s="34">
        <v>-123456.789</v>
      </c>
      <c r="K62" s="21" t="str">
        <f t="shared" si="0"/>
        <v>Comma [0]</v>
      </c>
    </row>
    <row r="63" spans="2:13" ht="15" outlineLevel="1" x14ac:dyDescent="0.25">
      <c r="C63" s="71"/>
      <c r="D63" s="71"/>
      <c r="E63" s="71"/>
      <c r="F63" s="71"/>
      <c r="G63" s="71"/>
      <c r="K63" s="21"/>
    </row>
    <row r="64" spans="2:13" ht="15" outlineLevel="1" x14ac:dyDescent="0.25">
      <c r="C64" s="71" t="s">
        <v>58</v>
      </c>
      <c r="D64" s="71"/>
      <c r="E64" s="71"/>
      <c r="F64" s="71"/>
      <c r="G64" s="71"/>
      <c r="I64" s="44">
        <v>123456.789</v>
      </c>
      <c r="K64" s="21" t="str">
        <f t="shared" si="0"/>
        <v>Currency</v>
      </c>
    </row>
    <row r="65" spans="3:11" ht="15" outlineLevel="1" x14ac:dyDescent="0.25">
      <c r="C65" s="71"/>
      <c r="D65" s="71"/>
      <c r="E65" s="71"/>
      <c r="F65" s="71"/>
      <c r="G65" s="71"/>
      <c r="K65" s="21"/>
    </row>
    <row r="66" spans="3:11" ht="15" outlineLevel="1" x14ac:dyDescent="0.25">
      <c r="C66" s="71" t="s">
        <v>59</v>
      </c>
      <c r="D66" s="71"/>
      <c r="E66" s="71"/>
      <c r="F66" s="71"/>
      <c r="G66" s="71"/>
      <c r="I66" s="45">
        <v>123456.789</v>
      </c>
      <c r="K66" s="21" t="str">
        <f t="shared" si="0"/>
        <v>Currency [0]</v>
      </c>
    </row>
    <row r="67" spans="3:11" ht="15" outlineLevel="1" x14ac:dyDescent="0.25">
      <c r="C67" s="71"/>
      <c r="D67" s="71"/>
      <c r="E67" s="71"/>
      <c r="F67" s="71"/>
      <c r="G67" s="71"/>
      <c r="K67" s="21"/>
    </row>
    <row r="68" spans="3:11" ht="15" outlineLevel="1" x14ac:dyDescent="0.25">
      <c r="C68" s="71" t="s">
        <v>60</v>
      </c>
      <c r="D68" s="71"/>
      <c r="E68" s="71"/>
      <c r="F68" s="71"/>
      <c r="G68" s="71"/>
      <c r="I68" s="46">
        <f ca="1">TODAY()</f>
        <v>45706</v>
      </c>
      <c r="K68" s="21" t="str">
        <f>C68</f>
        <v>Date</v>
      </c>
    </row>
    <row r="69" spans="3:11" ht="15" outlineLevel="1" x14ac:dyDescent="0.25">
      <c r="C69" s="71"/>
      <c r="D69" s="71"/>
      <c r="E69" s="71"/>
      <c r="F69" s="71"/>
      <c r="G69" s="71"/>
      <c r="K69" s="21"/>
    </row>
    <row r="70" spans="3:11" ht="15" outlineLevel="1" x14ac:dyDescent="0.25">
      <c r="C70" s="71" t="s">
        <v>61</v>
      </c>
      <c r="D70" s="71"/>
      <c r="E70" s="71"/>
      <c r="F70" s="71"/>
      <c r="G70" s="71"/>
      <c r="I70" s="47">
        <f ca="1">TODAY()</f>
        <v>45706</v>
      </c>
      <c r="K70" s="21" t="str">
        <f>C70</f>
        <v>Date Heading</v>
      </c>
    </row>
    <row r="71" spans="3:11" ht="15" outlineLevel="1" x14ac:dyDescent="0.25">
      <c r="C71" s="71"/>
      <c r="D71" s="71"/>
      <c r="E71" s="71"/>
      <c r="F71" s="71"/>
      <c r="G71" s="71"/>
      <c r="K71" s="21"/>
    </row>
    <row r="72" spans="3:11" ht="15" outlineLevel="1" x14ac:dyDescent="0.25">
      <c r="C72" s="71" t="s">
        <v>62</v>
      </c>
      <c r="D72" s="71"/>
      <c r="E72" s="71"/>
      <c r="F72" s="71"/>
      <c r="G72" s="71"/>
      <c r="I72" s="35">
        <v>-123456.789</v>
      </c>
      <c r="K72" s="21" t="str">
        <f>C72</f>
        <v>Numbers 0</v>
      </c>
    </row>
    <row r="73" spans="3:11" ht="15" outlineLevel="1" x14ac:dyDescent="0.25">
      <c r="C73" s="71"/>
      <c r="D73" s="71"/>
      <c r="E73" s="71"/>
      <c r="F73" s="71"/>
      <c r="G73" s="71"/>
      <c r="K73" s="21"/>
    </row>
    <row r="74" spans="3:11" ht="15" outlineLevel="1" x14ac:dyDescent="0.25">
      <c r="C74" s="71" t="s">
        <v>63</v>
      </c>
      <c r="D74" s="71"/>
      <c r="E74" s="71"/>
      <c r="F74" s="71"/>
      <c r="G74" s="71"/>
      <c r="I74" s="36">
        <v>0.5</v>
      </c>
      <c r="K74" s="21" t="str">
        <f>C74</f>
        <v>Percent</v>
      </c>
    </row>
    <row r="75" spans="3:11" outlineLevel="1" x14ac:dyDescent="0.2">
      <c r="C75" s="71"/>
      <c r="D75" s="71"/>
      <c r="E75" s="71"/>
      <c r="F75" s="71"/>
      <c r="G75" s="71"/>
    </row>
    <row r="76" spans="3:11" outlineLevel="1" x14ac:dyDescent="0.2">
      <c r="C76" s="71"/>
      <c r="D76" s="71"/>
      <c r="E76" s="71"/>
      <c r="F76" s="71"/>
      <c r="G76" s="71"/>
    </row>
    <row r="77" spans="3:11" x14ac:dyDescent="0.2">
      <c r="C77" s="71"/>
      <c r="D77" s="71"/>
      <c r="E77" s="71"/>
      <c r="F77" s="71"/>
      <c r="G77" s="71"/>
    </row>
    <row r="78" spans="3:11" x14ac:dyDescent="0.2">
      <c r="C78" s="71"/>
      <c r="D78" s="71"/>
      <c r="E78" s="71"/>
      <c r="F78" s="71"/>
      <c r="G78" s="71"/>
    </row>
    <row r="79" spans="3:11" x14ac:dyDescent="0.2">
      <c r="C79" s="71"/>
      <c r="D79" s="71"/>
      <c r="E79" s="71"/>
      <c r="F79" s="71"/>
      <c r="G79" s="71"/>
    </row>
    <row r="80" spans="3:11" x14ac:dyDescent="0.2">
      <c r="C80" s="71"/>
      <c r="D80" s="71"/>
      <c r="E80" s="71"/>
      <c r="F80" s="71"/>
      <c r="G80" s="71"/>
    </row>
    <row r="81" spans="3:7" x14ac:dyDescent="0.2">
      <c r="C81" s="71"/>
      <c r="D81" s="71"/>
      <c r="E81" s="71"/>
      <c r="F81" s="71"/>
      <c r="G81" s="71"/>
    </row>
  </sheetData>
  <mergeCells count="66">
    <mergeCell ref="C81:G81"/>
    <mergeCell ref="C75:G75"/>
    <mergeCell ref="C76:G76"/>
    <mergeCell ref="C77:G77"/>
    <mergeCell ref="C78:G78"/>
    <mergeCell ref="C79:G79"/>
    <mergeCell ref="C80:G80"/>
    <mergeCell ref="C74:G74"/>
    <mergeCell ref="C63:G63"/>
    <mergeCell ref="C64:G64"/>
    <mergeCell ref="C65:G65"/>
    <mergeCell ref="C66:G66"/>
    <mergeCell ref="C67:G67"/>
    <mergeCell ref="C68:G68"/>
    <mergeCell ref="C69:G69"/>
    <mergeCell ref="C70:G70"/>
    <mergeCell ref="C71:G71"/>
    <mergeCell ref="C72:G72"/>
    <mergeCell ref="C73:G73"/>
    <mergeCell ref="C62:G62"/>
    <mergeCell ref="C48:G48"/>
    <mergeCell ref="C49:G49"/>
    <mergeCell ref="C50:G50"/>
    <mergeCell ref="C51:G51"/>
    <mergeCell ref="C52:G52"/>
    <mergeCell ref="C53:G53"/>
    <mergeCell ref="C54:G54"/>
    <mergeCell ref="C55:G55"/>
    <mergeCell ref="C58:G58"/>
    <mergeCell ref="C60:G60"/>
    <mergeCell ref="C61:G61"/>
    <mergeCell ref="C47:G47"/>
    <mergeCell ref="C36:G36"/>
    <mergeCell ref="C37:G37"/>
    <mergeCell ref="C38:G38"/>
    <mergeCell ref="C39:G39"/>
    <mergeCell ref="C40:G40"/>
    <mergeCell ref="C41:G41"/>
    <mergeCell ref="C42:G42"/>
    <mergeCell ref="C43:G43"/>
    <mergeCell ref="C44:G44"/>
    <mergeCell ref="C45:G45"/>
    <mergeCell ref="C46:G46"/>
    <mergeCell ref="C35:G35"/>
    <mergeCell ref="C18:G18"/>
    <mergeCell ref="C19:G19"/>
    <mergeCell ref="C20:G20"/>
    <mergeCell ref="C25:G25"/>
    <mergeCell ref="C26:G26"/>
    <mergeCell ref="C27:G27"/>
    <mergeCell ref="C28:G28"/>
    <mergeCell ref="C29:G29"/>
    <mergeCell ref="C30:G30"/>
    <mergeCell ref="C31:G31"/>
    <mergeCell ref="C32:G32"/>
    <mergeCell ref="C17:G17"/>
    <mergeCell ref="A3:E3"/>
    <mergeCell ref="C8:G8"/>
    <mergeCell ref="C9:G9"/>
    <mergeCell ref="C10:G10"/>
    <mergeCell ref="C11:G11"/>
    <mergeCell ref="C12:G12"/>
    <mergeCell ref="C13:G13"/>
    <mergeCell ref="C14:G14"/>
    <mergeCell ref="C15:G15"/>
    <mergeCell ref="C16:G16"/>
  </mergeCells>
  <conditionalFormatting sqref="I4">
    <cfRule type="cellIs" dxfId="26" priority="1" operator="notEqual">
      <formula>0</formula>
    </cfRule>
  </conditionalFormatting>
  <hyperlinks>
    <hyperlink ref="A3:E3" location="HL_Navigator" tooltip="Go to Navigator (Table of Contents)" display="Navigator" xr:uid="{00000000-0004-0000-0200-000000000000}"/>
    <hyperlink ref="A3" location="HL_Navigator" display="Navigator" xr:uid="{00000000-0004-0000-0200-000001000000}"/>
    <hyperlink ref="I4" location="Overall_Error_Check" tooltip="Go to Overall Error Check" display="Overall_Error_Check" xr:uid="{00000000-0004-0000-0200-000002000000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2">
    <outlinePr summaryBelow="0"/>
  </sheetPr>
  <dimension ref="A1:S33"/>
  <sheetViews>
    <sheetView showGridLines="0" zoomScaleNormal="100" workbookViewId="0">
      <pane ySplit="4" topLeftCell="A5" activePane="bottomLeft" state="frozen"/>
      <selection activeCell="A3" sqref="A3:E3"/>
      <selection pane="bottomLeft" activeCell="A3" sqref="A3:E3"/>
    </sheetView>
  </sheetViews>
  <sheetFormatPr defaultColWidth="0" defaultRowHeight="12" outlineLevelRow="1" x14ac:dyDescent="0.2"/>
  <cols>
    <col min="1" max="5" width="3.7109375" customWidth="1"/>
    <col min="6" max="6" width="16.28515625" customWidth="1"/>
    <col min="7" max="7" width="14.42578125" customWidth="1"/>
    <col min="8" max="8" width="3" customWidth="1"/>
    <col min="9" max="18" width="9.140625" customWidth="1"/>
    <col min="19" max="19" width="1.7109375" customWidth="1"/>
    <col min="20" max="16384" width="9.140625" hidden="1"/>
  </cols>
  <sheetData>
    <row r="1" spans="1:18" ht="20.25" x14ac:dyDescent="0.3">
      <c r="A1" s="40" t="str">
        <f ca="1">IF(ISERROR(RIGHT(CELL("filename",A1),LEN(CELL("filename",A1))-FIND("]",CELL("filename",A1)))),
"",
RIGHT(CELL("filename",A1),LEN(CELL("filename",A1))-FIND("]",CELL("filename",A1))))</f>
        <v>Model Parameters</v>
      </c>
      <c r="J1" s="70"/>
      <c r="K1" s="70"/>
    </row>
    <row r="2" spans="1:18" ht="18" x14ac:dyDescent="0.25">
      <c r="A2" s="41" t="str">
        <f ca="1">Model_Name</f>
        <v>Waffle Chart.xlsm</v>
      </c>
    </row>
    <row r="3" spans="1:18" x14ac:dyDescent="0.2">
      <c r="A3" s="70" t="s">
        <v>1</v>
      </c>
      <c r="B3" s="70"/>
      <c r="C3" s="70"/>
      <c r="D3" s="70"/>
      <c r="E3" s="70"/>
    </row>
    <row r="4" spans="1:18" ht="14.25" x14ac:dyDescent="0.2">
      <c r="E4" t="s">
        <v>2</v>
      </c>
      <c r="I4" s="1">
        <f>Overall_Error_Check</f>
        <v>0</v>
      </c>
    </row>
    <row r="6" spans="1:18" ht="16.5" thickBot="1" x14ac:dyDescent="0.3">
      <c r="B6" s="42">
        <f>MAX($B$5:$B5)+1</f>
        <v>1</v>
      </c>
      <c r="C6" s="2" t="s">
        <v>3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2.75" outlineLevel="1" thickTop="1" x14ac:dyDescent="0.2"/>
    <row r="8" spans="1:18" ht="16.5" outlineLevel="1" x14ac:dyDescent="0.25">
      <c r="C8" s="3" t="s">
        <v>4</v>
      </c>
    </row>
    <row r="9" spans="1:18" ht="16.5" outlineLevel="1" x14ac:dyDescent="0.25">
      <c r="C9" s="3"/>
    </row>
    <row r="10" spans="1:18" ht="16.5" outlineLevel="1" x14ac:dyDescent="0.25">
      <c r="C10" s="3"/>
      <c r="E10" s="4" t="s">
        <v>3</v>
      </c>
    </row>
    <row r="11" spans="1:18" outlineLevel="1" x14ac:dyDescent="0.2">
      <c r="E11" t="s">
        <v>5</v>
      </c>
      <c r="G11" s="73" t="str">
        <f ca="1">IF(ISERROR(OR(FIND("[",CELL("filename",A1)),FIND("]",CELL("filename",A1)))),"",MID(CELL("filename",A1),FIND("[",CELL("filename",A1))+1,FIND("]",CELL("filename",A1))-FIND("[",CELL("filename",A1))-1))</f>
        <v>Waffle Chart.xlsm</v>
      </c>
      <c r="H11" s="73"/>
      <c r="I11" s="73"/>
      <c r="J11" s="73"/>
      <c r="K11" s="73"/>
      <c r="L11" s="73"/>
      <c r="M11" s="73"/>
      <c r="N11" s="73"/>
    </row>
    <row r="12" spans="1:18" outlineLevel="1" x14ac:dyDescent="0.2">
      <c r="E12" t="s">
        <v>6</v>
      </c>
      <c r="G12" s="74" t="s">
        <v>69</v>
      </c>
      <c r="H12" s="74"/>
      <c r="I12" s="74"/>
      <c r="J12" s="74"/>
      <c r="K12" s="74"/>
      <c r="L12" s="74"/>
      <c r="M12" s="74"/>
      <c r="N12" s="74"/>
    </row>
    <row r="13" spans="1:18" outlineLevel="1" x14ac:dyDescent="0.2"/>
    <row r="14" spans="1:18" outlineLevel="1" x14ac:dyDescent="0.2"/>
    <row r="15" spans="1:18" ht="16.5" thickBot="1" x14ac:dyDescent="0.3">
      <c r="B15" s="42">
        <f>MAX($B$5:$B14)+1</f>
        <v>2</v>
      </c>
      <c r="C15" s="2" t="s">
        <v>7</v>
      </c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1:18" ht="12.75" outlineLevel="1" thickTop="1" x14ac:dyDescent="0.2"/>
    <row r="17" spans="3:7" ht="16.5" outlineLevel="1" x14ac:dyDescent="0.25">
      <c r="C17" s="3" t="s">
        <v>8</v>
      </c>
    </row>
    <row r="18" spans="3:7" outlineLevel="1" x14ac:dyDescent="0.2"/>
    <row r="19" spans="3:7" outlineLevel="1" x14ac:dyDescent="0.2">
      <c r="E19" t="s">
        <v>9</v>
      </c>
      <c r="G19" s="5">
        <v>365</v>
      </c>
    </row>
    <row r="20" spans="3:7" outlineLevel="1" x14ac:dyDescent="0.2">
      <c r="E20" t="s">
        <v>10</v>
      </c>
      <c r="G20" s="5">
        <v>1</v>
      </c>
    </row>
    <row r="21" spans="3:7" outlineLevel="1" x14ac:dyDescent="0.2">
      <c r="E21" t="s">
        <v>11</v>
      </c>
      <c r="G21" s="5">
        <v>3</v>
      </c>
    </row>
    <row r="22" spans="3:7" outlineLevel="1" x14ac:dyDescent="0.2">
      <c r="E22" t="s">
        <v>12</v>
      </c>
      <c r="G22" s="5">
        <v>6</v>
      </c>
    </row>
    <row r="23" spans="3:7" outlineLevel="1" x14ac:dyDescent="0.2">
      <c r="E23" t="s">
        <v>13</v>
      </c>
      <c r="G23" s="5">
        <v>12</v>
      </c>
    </row>
    <row r="24" spans="3:7" outlineLevel="1" x14ac:dyDescent="0.2">
      <c r="E24" t="s">
        <v>14</v>
      </c>
      <c r="G24" s="5">
        <v>4</v>
      </c>
    </row>
    <row r="25" spans="3:7" outlineLevel="1" x14ac:dyDescent="0.2"/>
    <row r="26" spans="3:7" outlineLevel="1" x14ac:dyDescent="0.2">
      <c r="E26" t="s">
        <v>15</v>
      </c>
      <c r="G26" s="5">
        <v>5</v>
      </c>
    </row>
    <row r="27" spans="3:7" outlineLevel="1" x14ac:dyDescent="0.2"/>
    <row r="28" spans="3:7" outlineLevel="1" x14ac:dyDescent="0.2">
      <c r="E28" t="s">
        <v>16</v>
      </c>
      <c r="G28" s="6">
        <v>9.9999999999999997E+98</v>
      </c>
    </row>
    <row r="29" spans="3:7" outlineLevel="1" x14ac:dyDescent="0.2">
      <c r="E29" t="s">
        <v>17</v>
      </c>
      <c r="G29" s="6">
        <v>1E-8</v>
      </c>
    </row>
    <row r="30" spans="3:7" outlineLevel="1" x14ac:dyDescent="0.2"/>
    <row r="31" spans="3:7" outlineLevel="1" x14ac:dyDescent="0.2">
      <c r="E31" t="s">
        <v>18</v>
      </c>
      <c r="G31" s="5">
        <v>1000</v>
      </c>
    </row>
    <row r="32" spans="3:7" outlineLevel="1" x14ac:dyDescent="0.2"/>
    <row r="33" outlineLevel="1" x14ac:dyDescent="0.2"/>
  </sheetData>
  <sheetProtection formatColumns="0" formatRows="0"/>
  <mergeCells count="4">
    <mergeCell ref="J1:K1"/>
    <mergeCell ref="A3:E3"/>
    <mergeCell ref="G11:N11"/>
    <mergeCell ref="G12:N12"/>
  </mergeCells>
  <conditionalFormatting sqref="I4">
    <cfRule type="cellIs" dxfId="25" priority="1" operator="notEqual">
      <formula>0</formula>
    </cfRule>
  </conditionalFormatting>
  <hyperlinks>
    <hyperlink ref="A3:E3" location="HL_Navigator" tooltip="Go to Navigator (Table of Contents)" display="Navigator" xr:uid="{00000000-0004-0000-0300-000000000000}"/>
    <hyperlink ref="A3" location="HL_Navigator" display="Navigator" xr:uid="{00000000-0004-0000-0300-000001000000}"/>
    <hyperlink ref="I4" location="Overall_Error_Check" tooltip="Go to Overall Error Check" display="Overall_Error_Check" xr:uid="{00000000-0004-0000-0300-000002000000}"/>
  </hyperlinks>
  <pageMargins left="0.70866141732283472" right="0.70866141732283472" top="0.74803149606299213" bottom="0.74803149606299213" header="0.31496062992125984" footer="0.31496062992125984"/>
  <pageSetup paperSize="8" scale="7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AA43"/>
  <sheetViews>
    <sheetView showGridLines="0" tabSelected="1" workbookViewId="0">
      <pane ySplit="4" topLeftCell="A5" activePane="bottomLeft" state="frozen"/>
      <selection pane="bottomLeft" activeCell="A3" sqref="A3:E3"/>
    </sheetView>
  </sheetViews>
  <sheetFormatPr defaultRowHeight="12" x14ac:dyDescent="0.2"/>
  <cols>
    <col min="1" max="3" width="3.7109375" customWidth="1"/>
    <col min="4" max="4" width="5.5703125" bestFit="1" customWidth="1"/>
    <col min="5" max="5" width="3.7109375" customWidth="1"/>
    <col min="6" max="6" width="11.140625" customWidth="1"/>
    <col min="7" max="16" width="5" customWidth="1"/>
  </cols>
  <sheetData>
    <row r="1" spans="1:17" ht="20.25" x14ac:dyDescent="0.3">
      <c r="A1" s="40" t="str">
        <f ca="1">IF(ISERROR(RIGHT(CELL("filename",A1),LEN(CELL("filename",A1))-FIND("]",CELL("filename",A1)))),
"",
RIGHT(CELL("filename",A1),LEN(CELL("filename",A1))-FIND("]",CELL("filename",A1))))</f>
        <v>Simple Waffle Chart</v>
      </c>
      <c r="K1" s="11"/>
    </row>
    <row r="2" spans="1:17" ht="18" x14ac:dyDescent="0.25">
      <c r="A2" s="41" t="str">
        <f ca="1">Model_Name</f>
        <v>Waffle Chart.xlsm</v>
      </c>
    </row>
    <row r="3" spans="1:17" x14ac:dyDescent="0.2">
      <c r="A3" s="70" t="s">
        <v>1</v>
      </c>
      <c r="B3" s="70"/>
      <c r="C3" s="70"/>
      <c r="D3" s="70"/>
      <c r="E3" s="70"/>
    </row>
    <row r="4" spans="1:17" ht="14.25" x14ac:dyDescent="0.2">
      <c r="B4" t="s">
        <v>2</v>
      </c>
      <c r="F4" s="1">
        <f>Overall_Error_Check</f>
        <v>0</v>
      </c>
    </row>
    <row r="5" spans="1:17" x14ac:dyDescent="0.2">
      <c r="A5" s="11"/>
    </row>
    <row r="6" spans="1:17" ht="16.5" thickBot="1" x14ac:dyDescent="0.3">
      <c r="B6" s="42">
        <f>MAX($B$5:$B5)+1</f>
        <v>1</v>
      </c>
      <c r="C6" s="2" t="str">
        <f ca="1">A1</f>
        <v>Simple Waffle Chart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ht="12.75" thickTop="1" x14ac:dyDescent="0.2"/>
    <row r="8" spans="1:17" ht="16.5" x14ac:dyDescent="0.25">
      <c r="C8" s="3" t="s">
        <v>73</v>
      </c>
    </row>
    <row r="10" spans="1:17" x14ac:dyDescent="0.2">
      <c r="D10" s="13" t="s">
        <v>74</v>
      </c>
    </row>
    <row r="11" spans="1:17" x14ac:dyDescent="0.2">
      <c r="D11" s="48">
        <v>0.66</v>
      </c>
    </row>
    <row r="14" spans="1:17" ht="16.5" x14ac:dyDescent="0.25">
      <c r="C14" s="3" t="s">
        <v>75</v>
      </c>
    </row>
    <row r="16" spans="1:17" ht="15" x14ac:dyDescent="0.25">
      <c r="D16" s="4" t="s">
        <v>76</v>
      </c>
    </row>
    <row r="17" spans="4:27" ht="12.75" thickBot="1" x14ac:dyDescent="0.25"/>
    <row r="18" spans="4:27" ht="26.25" customHeight="1" x14ac:dyDescent="0.2">
      <c r="G18" s="59" cm="1">
        <f t="array" ref="G18:P27">_xlfn.SEQUENCE(10,10,0.01,0.01)</f>
        <v>0.01</v>
      </c>
      <c r="H18" s="60">
        <v>0.02</v>
      </c>
      <c r="I18" s="60">
        <v>0.03</v>
      </c>
      <c r="J18" s="60">
        <v>0.04</v>
      </c>
      <c r="K18" s="60">
        <v>0.05</v>
      </c>
      <c r="L18" s="60">
        <v>6.0000000000000005E-2</v>
      </c>
      <c r="M18" s="60">
        <v>7.0000000000000007E-2</v>
      </c>
      <c r="N18" s="60">
        <v>0.08</v>
      </c>
      <c r="O18" s="60">
        <v>0.09</v>
      </c>
      <c r="P18" s="61">
        <v>9.9999999999999992E-2</v>
      </c>
    </row>
    <row r="19" spans="4:27" ht="26.25" customHeight="1" x14ac:dyDescent="0.2">
      <c r="G19" s="62">
        <v>0.10999999999999999</v>
      </c>
      <c r="H19" s="63">
        <v>0.11999999999999998</v>
      </c>
      <c r="I19" s="63">
        <v>0.12999999999999998</v>
      </c>
      <c r="J19" s="63">
        <v>0.13999999999999999</v>
      </c>
      <c r="K19" s="63">
        <v>0.15</v>
      </c>
      <c r="L19" s="63">
        <v>0.16</v>
      </c>
      <c r="M19" s="63">
        <v>0.17</v>
      </c>
      <c r="N19" s="63">
        <v>0.18000000000000002</v>
      </c>
      <c r="O19" s="63">
        <v>0.19000000000000003</v>
      </c>
      <c r="P19" s="64">
        <v>0.20000000000000004</v>
      </c>
    </row>
    <row r="20" spans="4:27" ht="26.25" customHeight="1" x14ac:dyDescent="0.2">
      <c r="G20" s="62">
        <v>0.21000000000000005</v>
      </c>
      <c r="H20" s="63">
        <v>0.22000000000000006</v>
      </c>
      <c r="I20" s="63">
        <v>0.23000000000000007</v>
      </c>
      <c r="J20" s="63">
        <v>0.24000000000000007</v>
      </c>
      <c r="K20" s="63">
        <v>0.25000000000000006</v>
      </c>
      <c r="L20" s="63">
        <v>0.26000000000000006</v>
      </c>
      <c r="M20" s="63">
        <v>0.27000000000000007</v>
      </c>
      <c r="N20" s="63">
        <v>0.28000000000000008</v>
      </c>
      <c r="O20" s="63">
        <v>0.29000000000000009</v>
      </c>
      <c r="P20" s="64">
        <v>0.3000000000000001</v>
      </c>
    </row>
    <row r="21" spans="4:27" ht="26.25" customHeight="1" x14ac:dyDescent="0.2">
      <c r="G21" s="62">
        <v>0.31000000000000011</v>
      </c>
      <c r="H21" s="63">
        <v>0.32000000000000012</v>
      </c>
      <c r="I21" s="63">
        <v>0.33000000000000013</v>
      </c>
      <c r="J21" s="63">
        <v>0.34000000000000014</v>
      </c>
      <c r="K21" s="63">
        <v>0.35000000000000014</v>
      </c>
      <c r="L21" s="63">
        <v>0.36000000000000015</v>
      </c>
      <c r="M21" s="63">
        <v>0.37000000000000016</v>
      </c>
      <c r="N21" s="63">
        <v>0.38000000000000017</v>
      </c>
      <c r="O21" s="63">
        <v>0.39000000000000018</v>
      </c>
      <c r="P21" s="64">
        <v>0.40000000000000019</v>
      </c>
    </row>
    <row r="22" spans="4:27" ht="26.25" customHeight="1" x14ac:dyDescent="0.2">
      <c r="G22" s="62">
        <v>0.4100000000000002</v>
      </c>
      <c r="H22" s="63">
        <v>0.42000000000000021</v>
      </c>
      <c r="I22" s="63">
        <v>0.43000000000000022</v>
      </c>
      <c r="J22" s="63">
        <v>0.44000000000000022</v>
      </c>
      <c r="K22" s="63">
        <v>0.45000000000000023</v>
      </c>
      <c r="L22" s="63">
        <v>0.46000000000000024</v>
      </c>
      <c r="M22" s="63">
        <v>0.47000000000000025</v>
      </c>
      <c r="N22" s="63">
        <v>0.48000000000000026</v>
      </c>
      <c r="O22" s="63">
        <v>0.49000000000000027</v>
      </c>
      <c r="P22" s="64">
        <v>0.50000000000000022</v>
      </c>
    </row>
    <row r="23" spans="4:27" ht="26.25" customHeight="1" x14ac:dyDescent="0.2">
      <c r="G23" s="62">
        <v>0.51000000000000023</v>
      </c>
      <c r="H23" s="63">
        <v>0.52000000000000024</v>
      </c>
      <c r="I23" s="63">
        <v>0.53000000000000025</v>
      </c>
      <c r="J23" s="63">
        <v>0.54000000000000026</v>
      </c>
      <c r="K23" s="63">
        <v>0.55000000000000027</v>
      </c>
      <c r="L23" s="63">
        <v>0.56000000000000028</v>
      </c>
      <c r="M23" s="63">
        <v>0.57000000000000028</v>
      </c>
      <c r="N23" s="63">
        <v>0.58000000000000029</v>
      </c>
      <c r="O23" s="63">
        <v>0.5900000000000003</v>
      </c>
      <c r="P23" s="64">
        <v>0.60000000000000031</v>
      </c>
    </row>
    <row r="24" spans="4:27" ht="26.25" customHeight="1" x14ac:dyDescent="0.2">
      <c r="G24" s="62">
        <v>0.61000000000000032</v>
      </c>
      <c r="H24" s="63">
        <v>0.62000000000000033</v>
      </c>
      <c r="I24" s="63">
        <v>0.63000000000000034</v>
      </c>
      <c r="J24" s="63">
        <v>0.64000000000000035</v>
      </c>
      <c r="K24" s="63">
        <v>0.65000000000000036</v>
      </c>
      <c r="L24" s="63">
        <v>0.66000000000000036</v>
      </c>
      <c r="M24" s="63">
        <v>0.67000000000000037</v>
      </c>
      <c r="N24" s="63">
        <v>0.68000000000000038</v>
      </c>
      <c r="O24" s="63">
        <v>0.69000000000000039</v>
      </c>
      <c r="P24" s="64">
        <v>0.7000000000000004</v>
      </c>
    </row>
    <row r="25" spans="4:27" ht="26.25" customHeight="1" x14ac:dyDescent="0.2">
      <c r="G25" s="62">
        <v>0.71000000000000041</v>
      </c>
      <c r="H25" s="63">
        <v>0.72000000000000042</v>
      </c>
      <c r="I25" s="63">
        <v>0.73000000000000043</v>
      </c>
      <c r="J25" s="63">
        <v>0.74000000000000044</v>
      </c>
      <c r="K25" s="63">
        <v>0.75000000000000044</v>
      </c>
      <c r="L25" s="63">
        <v>0.76000000000000045</v>
      </c>
      <c r="M25" s="63">
        <v>0.77000000000000046</v>
      </c>
      <c r="N25" s="63">
        <v>0.78000000000000047</v>
      </c>
      <c r="O25" s="63">
        <v>0.79000000000000048</v>
      </c>
      <c r="P25" s="64">
        <v>0.80000000000000049</v>
      </c>
    </row>
    <row r="26" spans="4:27" ht="26.25" customHeight="1" x14ac:dyDescent="0.2">
      <c r="G26" s="62">
        <v>0.8100000000000005</v>
      </c>
      <c r="H26" s="63">
        <v>0.82000000000000051</v>
      </c>
      <c r="I26" s="63">
        <v>0.83000000000000052</v>
      </c>
      <c r="J26" s="63">
        <v>0.84000000000000052</v>
      </c>
      <c r="K26" s="63">
        <v>0.85000000000000053</v>
      </c>
      <c r="L26" s="63">
        <v>0.86000000000000054</v>
      </c>
      <c r="M26" s="63">
        <v>0.87000000000000055</v>
      </c>
      <c r="N26" s="63">
        <v>0.88000000000000056</v>
      </c>
      <c r="O26" s="63">
        <v>0.89000000000000057</v>
      </c>
      <c r="P26" s="64">
        <v>0.90000000000000058</v>
      </c>
      <c r="R26" s="68"/>
      <c r="S26" s="68"/>
      <c r="T26" s="68"/>
      <c r="U26" s="68"/>
      <c r="V26" s="68"/>
      <c r="W26" s="68"/>
      <c r="X26" s="68"/>
      <c r="Y26" s="68"/>
      <c r="Z26" s="68"/>
      <c r="AA26" s="68"/>
    </row>
    <row r="27" spans="4:27" ht="26.25" customHeight="1" thickBot="1" x14ac:dyDescent="0.25">
      <c r="G27" s="65">
        <v>0.91000000000000059</v>
      </c>
      <c r="H27" s="66">
        <v>0.9200000000000006</v>
      </c>
      <c r="I27" s="66">
        <v>0.9300000000000006</v>
      </c>
      <c r="J27" s="66">
        <v>0.94000000000000061</v>
      </c>
      <c r="K27" s="66">
        <v>0.95000000000000062</v>
      </c>
      <c r="L27" s="66">
        <v>0.96000000000000063</v>
      </c>
      <c r="M27" s="66">
        <v>0.97000000000000064</v>
      </c>
      <c r="N27" s="66">
        <v>0.98000000000000065</v>
      </c>
      <c r="O27" s="66">
        <v>0.99000000000000066</v>
      </c>
      <c r="P27" s="67">
        <v>1.0000000000000007</v>
      </c>
      <c r="R27" s="68"/>
      <c r="S27" s="68"/>
      <c r="T27" s="68"/>
      <c r="U27" s="68"/>
      <c r="V27" s="68"/>
      <c r="W27" s="68"/>
      <c r="X27" s="68"/>
      <c r="Y27" s="68"/>
      <c r="Z27" s="68"/>
      <c r="AA27" s="68"/>
    </row>
    <row r="28" spans="4:27" ht="12.75" thickBot="1" x14ac:dyDescent="0.25">
      <c r="G28" s="78"/>
      <c r="H28" s="79"/>
      <c r="I28" s="79"/>
      <c r="J28" s="79"/>
      <c r="K28" s="79"/>
      <c r="L28" s="79"/>
      <c r="M28" s="79"/>
      <c r="N28" s="79"/>
      <c r="O28" s="79"/>
      <c r="P28" s="80"/>
    </row>
    <row r="30" spans="4:27" ht="15" x14ac:dyDescent="0.25">
      <c r="D30" s="4" t="s">
        <v>77</v>
      </c>
    </row>
    <row r="31" spans="4:27" ht="12.75" thickBot="1" x14ac:dyDescent="0.25"/>
    <row r="32" spans="4:27" ht="26.25" customHeight="1" x14ac:dyDescent="0.2">
      <c r="G32" s="59" cm="1">
        <f t="array" ref="G32:P41">_xlfn.SEQUENCE(10,10,1,-0.01)</f>
        <v>1</v>
      </c>
      <c r="H32" s="60">
        <v>0.99</v>
      </c>
      <c r="I32" s="60">
        <v>0.98</v>
      </c>
      <c r="J32" s="60">
        <v>0.97</v>
      </c>
      <c r="K32" s="60">
        <v>0.96</v>
      </c>
      <c r="L32" s="60">
        <v>0.95</v>
      </c>
      <c r="M32" s="60">
        <v>0.94</v>
      </c>
      <c r="N32" s="60">
        <v>0.92999999999999994</v>
      </c>
      <c r="O32" s="60">
        <v>0.91999999999999993</v>
      </c>
      <c r="P32" s="61">
        <v>0.90999999999999992</v>
      </c>
    </row>
    <row r="33" spans="7:16" ht="26.25" customHeight="1" x14ac:dyDescent="0.2">
      <c r="G33" s="62">
        <v>0.89999999999999991</v>
      </c>
      <c r="H33" s="63">
        <v>0.8899999999999999</v>
      </c>
      <c r="I33" s="63">
        <v>0.87999999999999989</v>
      </c>
      <c r="J33" s="63">
        <v>0.86999999999999988</v>
      </c>
      <c r="K33" s="63">
        <v>0.85999999999999988</v>
      </c>
      <c r="L33" s="63">
        <v>0.84999999999999987</v>
      </c>
      <c r="M33" s="63">
        <v>0.83999999999999986</v>
      </c>
      <c r="N33" s="63">
        <v>0.82999999999999985</v>
      </c>
      <c r="O33" s="63">
        <v>0.81999999999999984</v>
      </c>
      <c r="P33" s="64">
        <v>0.80999999999999983</v>
      </c>
    </row>
    <row r="34" spans="7:16" ht="26.25" customHeight="1" x14ac:dyDescent="0.2">
      <c r="G34" s="62">
        <v>0.79999999999999982</v>
      </c>
      <c r="H34" s="63">
        <v>0.78999999999999981</v>
      </c>
      <c r="I34" s="63">
        <v>0.7799999999999998</v>
      </c>
      <c r="J34" s="63">
        <v>0.7699999999999998</v>
      </c>
      <c r="K34" s="63">
        <v>0.75999999999999979</v>
      </c>
      <c r="L34" s="63">
        <v>0.74999999999999978</v>
      </c>
      <c r="M34" s="63">
        <v>0.73999999999999977</v>
      </c>
      <c r="N34" s="63">
        <v>0.72999999999999976</v>
      </c>
      <c r="O34" s="63">
        <v>0.71999999999999975</v>
      </c>
      <c r="P34" s="64">
        <v>0.70999999999999974</v>
      </c>
    </row>
    <row r="35" spans="7:16" ht="26.25" customHeight="1" x14ac:dyDescent="0.2">
      <c r="G35" s="62">
        <v>0.69999999999999973</v>
      </c>
      <c r="H35" s="63">
        <v>0.68999999999999972</v>
      </c>
      <c r="I35" s="63">
        <v>0.67999999999999972</v>
      </c>
      <c r="J35" s="63">
        <v>0.66999999999999971</v>
      </c>
      <c r="K35" s="63">
        <v>0.6599999999999997</v>
      </c>
      <c r="L35" s="63">
        <v>0.64999999999999969</v>
      </c>
      <c r="M35" s="63">
        <v>0.63999999999999968</v>
      </c>
      <c r="N35" s="63">
        <v>0.62999999999999967</v>
      </c>
      <c r="O35" s="63">
        <v>0.61999999999999966</v>
      </c>
      <c r="P35" s="64">
        <v>0.60999999999999965</v>
      </c>
    </row>
    <row r="36" spans="7:16" ht="26.25" customHeight="1" x14ac:dyDescent="0.2">
      <c r="G36" s="62">
        <v>0.59999999999999964</v>
      </c>
      <c r="H36" s="63">
        <v>0.58999999999999964</v>
      </c>
      <c r="I36" s="63">
        <v>0.57999999999999963</v>
      </c>
      <c r="J36" s="63">
        <v>0.56999999999999962</v>
      </c>
      <c r="K36" s="63">
        <v>0.55999999999999961</v>
      </c>
      <c r="L36" s="63">
        <v>0.5499999999999996</v>
      </c>
      <c r="M36" s="63">
        <v>0.53999999999999959</v>
      </c>
      <c r="N36" s="63">
        <v>0.52999999999999958</v>
      </c>
      <c r="O36" s="63">
        <v>0.51999999999999957</v>
      </c>
      <c r="P36" s="64">
        <v>0.50999999999999956</v>
      </c>
    </row>
    <row r="37" spans="7:16" ht="26.25" customHeight="1" x14ac:dyDescent="0.2">
      <c r="G37" s="62">
        <v>0.49999999999999956</v>
      </c>
      <c r="H37" s="63">
        <v>0.48999999999999955</v>
      </c>
      <c r="I37" s="63">
        <v>0.47999999999999954</v>
      </c>
      <c r="J37" s="63">
        <v>0.46999999999999953</v>
      </c>
      <c r="K37" s="63">
        <v>0.45999999999999952</v>
      </c>
      <c r="L37" s="63">
        <v>0.44999999999999951</v>
      </c>
      <c r="M37" s="63">
        <v>0.4399999999999995</v>
      </c>
      <c r="N37" s="63">
        <v>0.42999999999999949</v>
      </c>
      <c r="O37" s="63">
        <v>0.41999999999999948</v>
      </c>
      <c r="P37" s="64">
        <v>0.40999999999999948</v>
      </c>
    </row>
    <row r="38" spans="7:16" ht="26.25" customHeight="1" x14ac:dyDescent="0.2">
      <c r="G38" s="62">
        <v>0.39999999999999947</v>
      </c>
      <c r="H38" s="63">
        <v>0.38999999999999946</v>
      </c>
      <c r="I38" s="63">
        <v>0.37999999999999945</v>
      </c>
      <c r="J38" s="63">
        <v>0.36999999999999944</v>
      </c>
      <c r="K38" s="63">
        <v>0.35999999999999943</v>
      </c>
      <c r="L38" s="63">
        <v>0.34999999999999942</v>
      </c>
      <c r="M38" s="63">
        <v>0.33999999999999941</v>
      </c>
      <c r="N38" s="63">
        <v>0.3299999999999994</v>
      </c>
      <c r="O38" s="63">
        <v>0.3199999999999994</v>
      </c>
      <c r="P38" s="64">
        <v>0.30999999999999939</v>
      </c>
    </row>
    <row r="39" spans="7:16" ht="26.25" customHeight="1" x14ac:dyDescent="0.2">
      <c r="G39" s="62">
        <v>0.29999999999999938</v>
      </c>
      <c r="H39" s="63">
        <v>0.28999999999999937</v>
      </c>
      <c r="I39" s="63">
        <v>0.27999999999999936</v>
      </c>
      <c r="J39" s="63">
        <v>0.26999999999999935</v>
      </c>
      <c r="K39" s="63">
        <v>0.25999999999999934</v>
      </c>
      <c r="L39" s="63">
        <v>0.24999999999999933</v>
      </c>
      <c r="M39" s="63">
        <v>0.23999999999999932</v>
      </c>
      <c r="N39" s="63">
        <v>0.22999999999999932</v>
      </c>
      <c r="O39" s="63">
        <v>0.21999999999999931</v>
      </c>
      <c r="P39" s="64">
        <v>0.2099999999999993</v>
      </c>
    </row>
    <row r="40" spans="7:16" ht="26.25" customHeight="1" x14ac:dyDescent="0.2">
      <c r="G40" s="62">
        <v>0.19999999999999929</v>
      </c>
      <c r="H40" s="63">
        <v>0.18999999999999928</v>
      </c>
      <c r="I40" s="63">
        <v>0.17999999999999927</v>
      </c>
      <c r="J40" s="63">
        <v>0.16999999999999926</v>
      </c>
      <c r="K40" s="63">
        <v>0.15999999999999925</v>
      </c>
      <c r="L40" s="63">
        <v>0.14999999999999925</v>
      </c>
      <c r="M40" s="63">
        <v>0.13999999999999924</v>
      </c>
      <c r="N40" s="63">
        <v>0.12999999999999923</v>
      </c>
      <c r="O40" s="63">
        <v>0.11999999999999923</v>
      </c>
      <c r="P40" s="64">
        <v>0.10999999999999924</v>
      </c>
    </row>
    <row r="41" spans="7:16" ht="26.25" customHeight="1" thickBot="1" x14ac:dyDescent="0.25">
      <c r="G41" s="65">
        <v>9.9999999999999242E-2</v>
      </c>
      <c r="H41" s="66">
        <v>8.9999999999999247E-2</v>
      </c>
      <c r="I41" s="66">
        <v>7.9999999999999252E-2</v>
      </c>
      <c r="J41" s="66">
        <v>6.9999999999999257E-2</v>
      </c>
      <c r="K41" s="66">
        <v>5.9999999999999255E-2</v>
      </c>
      <c r="L41" s="66">
        <v>4.9999999999999253E-2</v>
      </c>
      <c r="M41" s="66">
        <v>3.9999999999999251E-2</v>
      </c>
      <c r="N41" s="66">
        <v>2.9999999999999249E-2</v>
      </c>
      <c r="O41" s="66">
        <v>1.9999999999999248E-2</v>
      </c>
      <c r="P41" s="67">
        <v>9.9999999999992473E-3</v>
      </c>
    </row>
    <row r="42" spans="7:16" ht="12.75" thickBot="1" x14ac:dyDescent="0.25">
      <c r="G42" s="75"/>
      <c r="H42" s="76"/>
      <c r="I42" s="76"/>
      <c r="J42" s="76"/>
      <c r="K42" s="76"/>
      <c r="L42" s="76"/>
      <c r="M42" s="76"/>
      <c r="N42" s="76"/>
      <c r="O42" s="76"/>
      <c r="P42" s="77"/>
    </row>
    <row r="43" spans="7:16" x14ac:dyDescent="0.2">
      <c r="G43" s="49"/>
      <c r="H43" s="49"/>
      <c r="I43" s="49"/>
      <c r="J43" s="49"/>
      <c r="K43" s="49"/>
      <c r="L43" s="49"/>
      <c r="M43" s="49"/>
      <c r="N43" s="49"/>
      <c r="O43" s="49"/>
      <c r="P43" s="49"/>
    </row>
  </sheetData>
  <mergeCells count="3">
    <mergeCell ref="A3:E3"/>
    <mergeCell ref="G42:P42"/>
    <mergeCell ref="G28:P28"/>
  </mergeCells>
  <conditionalFormatting sqref="F4">
    <cfRule type="cellIs" dxfId="24" priority="12" operator="notEqual">
      <formula>0</formula>
    </cfRule>
  </conditionalFormatting>
  <conditionalFormatting sqref="G32:P41">
    <cfRule type="expression" dxfId="23" priority="5">
      <formula>G32&gt;$D$11</formula>
    </cfRule>
    <cfRule type="expression" dxfId="22" priority="6">
      <formula>G32&lt;$D$11</formula>
    </cfRule>
    <cfRule type="expression" dxfId="21" priority="7">
      <formula>G32=$D$11</formula>
    </cfRule>
  </conditionalFormatting>
  <conditionalFormatting sqref="R26:AA27">
    <cfRule type="expression" dxfId="20" priority="4">
      <formula>R26&gt;$D$11</formula>
    </cfRule>
  </conditionalFormatting>
  <conditionalFormatting sqref="G18:P27">
    <cfRule type="expression" dxfId="19" priority="1">
      <formula>G18&gt;$D$11</formula>
    </cfRule>
    <cfRule type="expression" dxfId="18" priority="2">
      <formula>G18&lt;$D$11</formula>
    </cfRule>
    <cfRule type="expression" dxfId="17" priority="3">
      <formula>G18=$D$11</formula>
    </cfRule>
  </conditionalFormatting>
  <hyperlinks>
    <hyperlink ref="F4" location="Overall_Error_Check" tooltip="Go to Overall Error Check" display="Overall_Error_Check" xr:uid="{00000000-0004-0000-0600-000000000000}"/>
    <hyperlink ref="A3:E3" location="HL_Navigator" tooltip="Go to Navigator (Table of Contents)" display="Navigator" xr:uid="{00000000-0004-0000-0600-000001000000}"/>
    <hyperlink ref="A3" location="HL_Navigator" display="Navigator" xr:uid="{00000000-0004-0000-0600-00000200000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DA166-65BB-4BDD-9C47-302ED367C9F2}">
  <sheetPr codeName="Sheet7"/>
  <dimension ref="A1:Q45"/>
  <sheetViews>
    <sheetView showGridLines="0" workbookViewId="0">
      <pane ySplit="4" topLeftCell="A10" activePane="bottomLeft" state="frozen"/>
      <selection pane="bottomLeft" activeCell="G20" sqref="G20"/>
    </sheetView>
  </sheetViews>
  <sheetFormatPr defaultRowHeight="12" x14ac:dyDescent="0.2"/>
  <cols>
    <col min="1" max="3" width="3.7109375" customWidth="1"/>
    <col min="4" max="4" width="5.5703125" bestFit="1" customWidth="1"/>
    <col min="5" max="5" width="3.7109375" customWidth="1"/>
    <col min="6" max="6" width="11.140625" customWidth="1"/>
    <col min="7" max="16" width="5" customWidth="1"/>
  </cols>
  <sheetData>
    <row r="1" spans="1:17" ht="20.25" x14ac:dyDescent="0.3">
      <c r="A1" s="40" t="str">
        <f ca="1">IF(ISERROR(RIGHT(CELL("filename",A1),LEN(CELL("filename",A1))-FIND("]",CELL("filename",A1)))),
"",
RIGHT(CELL("filename",A1),LEN(CELL("filename",A1))-FIND("]",CELL("filename",A1))))</f>
        <v>Stacked Waffle Chart</v>
      </c>
      <c r="K1" s="11"/>
    </row>
    <row r="2" spans="1:17" ht="18" x14ac:dyDescent="0.25">
      <c r="A2" s="41" t="str">
        <f ca="1">Model_Name</f>
        <v>Waffle Chart.xlsm</v>
      </c>
    </row>
    <row r="3" spans="1:17" x14ac:dyDescent="0.2">
      <c r="A3" s="70" t="s">
        <v>1</v>
      </c>
      <c r="B3" s="70"/>
      <c r="C3" s="70"/>
      <c r="D3" s="70"/>
      <c r="E3" s="70"/>
    </row>
    <row r="4" spans="1:17" ht="14.25" x14ac:dyDescent="0.2">
      <c r="B4" t="s">
        <v>2</v>
      </c>
      <c r="F4" s="1">
        <f>Overall_Error_Check</f>
        <v>0</v>
      </c>
    </row>
    <row r="5" spans="1:17" x14ac:dyDescent="0.2">
      <c r="A5" s="11"/>
    </row>
    <row r="6" spans="1:17" ht="16.5" thickBot="1" x14ac:dyDescent="0.3">
      <c r="B6" s="42">
        <f>MAX($B$5:$B5)+1</f>
        <v>1</v>
      </c>
      <c r="C6" s="2" t="str">
        <f ca="1">A1</f>
        <v>Stacked Waffle Chart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ht="12.75" thickTop="1" x14ac:dyDescent="0.2"/>
    <row r="8" spans="1:17" ht="16.5" x14ac:dyDescent="0.25">
      <c r="C8" s="3" t="s">
        <v>73</v>
      </c>
    </row>
    <row r="10" spans="1:17" x14ac:dyDescent="0.2">
      <c r="D10" s="13" t="s">
        <v>74</v>
      </c>
    </row>
    <row r="11" spans="1:17" x14ac:dyDescent="0.2">
      <c r="C11" t="s">
        <v>78</v>
      </c>
      <c r="D11" s="48">
        <v>0.44</v>
      </c>
    </row>
    <row r="12" spans="1:17" x14ac:dyDescent="0.2">
      <c r="C12" t="s">
        <v>79</v>
      </c>
      <c r="D12" s="48">
        <v>0.33</v>
      </c>
    </row>
    <row r="13" spans="1:17" x14ac:dyDescent="0.2">
      <c r="C13" t="s">
        <v>80</v>
      </c>
      <c r="D13" s="48">
        <f>1-SUM(D11:D12)</f>
        <v>0.22999999999999998</v>
      </c>
    </row>
    <row r="14" spans="1:17" x14ac:dyDescent="0.2">
      <c r="D14" s="19" t="s">
        <v>83</v>
      </c>
    </row>
    <row r="16" spans="1:17" ht="16.5" x14ac:dyDescent="0.25">
      <c r="C16" s="3" t="s">
        <v>75</v>
      </c>
    </row>
    <row r="18" spans="4:16" ht="15" x14ac:dyDescent="0.25">
      <c r="D18" s="4" t="s">
        <v>76</v>
      </c>
    </row>
    <row r="19" spans="4:16" ht="12.75" thickBot="1" x14ac:dyDescent="0.25"/>
    <row r="20" spans="4:16" ht="26.25" customHeight="1" x14ac:dyDescent="0.2">
      <c r="G20" s="50" cm="1">
        <f t="array" ref="G20:P29">_xlfn.SEQUENCE(10,10,0.01,0.01)</f>
        <v>0.01</v>
      </c>
      <c r="H20" s="51">
        <v>0.02</v>
      </c>
      <c r="I20" s="51">
        <v>0.03</v>
      </c>
      <c r="J20" s="51">
        <v>0.04</v>
      </c>
      <c r="K20" s="51">
        <v>0.05</v>
      </c>
      <c r="L20" s="51">
        <v>6.0000000000000005E-2</v>
      </c>
      <c r="M20" s="51">
        <v>7.0000000000000007E-2</v>
      </c>
      <c r="N20" s="51">
        <v>0.08</v>
      </c>
      <c r="O20" s="51">
        <v>0.09</v>
      </c>
      <c r="P20" s="52">
        <v>9.9999999999999992E-2</v>
      </c>
    </row>
    <row r="21" spans="4:16" ht="26.25" customHeight="1" x14ac:dyDescent="0.2">
      <c r="G21" s="53">
        <v>0.10999999999999999</v>
      </c>
      <c r="H21" s="54">
        <v>0.11999999999999998</v>
      </c>
      <c r="I21" s="54">
        <v>0.12999999999999998</v>
      </c>
      <c r="J21" s="54">
        <v>0.13999999999999999</v>
      </c>
      <c r="K21" s="54">
        <v>0.15</v>
      </c>
      <c r="L21" s="54">
        <v>0.16</v>
      </c>
      <c r="M21" s="54">
        <v>0.17</v>
      </c>
      <c r="N21" s="54">
        <v>0.18000000000000002</v>
      </c>
      <c r="O21" s="54">
        <v>0.19000000000000003</v>
      </c>
      <c r="P21" s="55">
        <v>0.20000000000000004</v>
      </c>
    </row>
    <row r="22" spans="4:16" ht="26.25" customHeight="1" x14ac:dyDescent="0.2">
      <c r="G22" s="53">
        <v>0.21000000000000005</v>
      </c>
      <c r="H22" s="54">
        <v>0.22000000000000006</v>
      </c>
      <c r="I22" s="54">
        <v>0.23000000000000007</v>
      </c>
      <c r="J22" s="54">
        <v>0.24000000000000007</v>
      </c>
      <c r="K22" s="54">
        <v>0.25000000000000006</v>
      </c>
      <c r="L22" s="54">
        <v>0.26000000000000006</v>
      </c>
      <c r="M22" s="54">
        <v>0.27000000000000007</v>
      </c>
      <c r="N22" s="54">
        <v>0.28000000000000008</v>
      </c>
      <c r="O22" s="54">
        <v>0.29000000000000009</v>
      </c>
      <c r="P22" s="55">
        <v>0.3000000000000001</v>
      </c>
    </row>
    <row r="23" spans="4:16" ht="26.25" customHeight="1" x14ac:dyDescent="0.2">
      <c r="G23" s="53">
        <v>0.31000000000000011</v>
      </c>
      <c r="H23" s="54">
        <v>0.32000000000000012</v>
      </c>
      <c r="I23" s="54">
        <v>0.33000000000000013</v>
      </c>
      <c r="J23" s="54">
        <v>0.34000000000000014</v>
      </c>
      <c r="K23" s="54">
        <v>0.35000000000000014</v>
      </c>
      <c r="L23" s="54">
        <v>0.36000000000000015</v>
      </c>
      <c r="M23" s="54">
        <v>0.37000000000000016</v>
      </c>
      <c r="N23" s="54">
        <v>0.38000000000000017</v>
      </c>
      <c r="O23" s="54">
        <v>0.39000000000000018</v>
      </c>
      <c r="P23" s="55">
        <v>0.40000000000000019</v>
      </c>
    </row>
    <row r="24" spans="4:16" ht="26.25" customHeight="1" x14ac:dyDescent="0.2">
      <c r="G24" s="53">
        <v>0.4100000000000002</v>
      </c>
      <c r="H24" s="54">
        <v>0.42000000000000021</v>
      </c>
      <c r="I24" s="54">
        <v>0.43000000000000022</v>
      </c>
      <c r="J24" s="54">
        <v>0.44000000000000022</v>
      </c>
      <c r="K24" s="54">
        <v>0.45000000000000023</v>
      </c>
      <c r="L24" s="54">
        <v>0.46000000000000024</v>
      </c>
      <c r="M24" s="54">
        <v>0.47000000000000025</v>
      </c>
      <c r="N24" s="54">
        <v>0.48000000000000026</v>
      </c>
      <c r="O24" s="54">
        <v>0.49000000000000027</v>
      </c>
      <c r="P24" s="55">
        <v>0.50000000000000022</v>
      </c>
    </row>
    <row r="25" spans="4:16" ht="26.25" customHeight="1" x14ac:dyDescent="0.2">
      <c r="G25" s="53">
        <v>0.51000000000000023</v>
      </c>
      <c r="H25" s="54">
        <v>0.52000000000000024</v>
      </c>
      <c r="I25" s="54">
        <v>0.53000000000000025</v>
      </c>
      <c r="J25" s="54">
        <v>0.54000000000000026</v>
      </c>
      <c r="K25" s="54">
        <v>0.55000000000000027</v>
      </c>
      <c r="L25" s="54">
        <v>0.56000000000000028</v>
      </c>
      <c r="M25" s="54">
        <v>0.57000000000000028</v>
      </c>
      <c r="N25" s="54">
        <v>0.58000000000000029</v>
      </c>
      <c r="O25" s="54">
        <v>0.5900000000000003</v>
      </c>
      <c r="P25" s="55">
        <v>0.60000000000000031</v>
      </c>
    </row>
    <row r="26" spans="4:16" ht="26.25" customHeight="1" x14ac:dyDescent="0.2">
      <c r="G26" s="53">
        <v>0.61000000000000032</v>
      </c>
      <c r="H26" s="54">
        <v>0.62000000000000033</v>
      </c>
      <c r="I26" s="54">
        <v>0.63000000000000034</v>
      </c>
      <c r="J26" s="54">
        <v>0.64000000000000035</v>
      </c>
      <c r="K26" s="54">
        <v>0.65000000000000036</v>
      </c>
      <c r="L26" s="54">
        <v>0.66000000000000036</v>
      </c>
      <c r="M26" s="54">
        <v>0.67000000000000037</v>
      </c>
      <c r="N26" s="54">
        <v>0.68000000000000038</v>
      </c>
      <c r="O26" s="54">
        <v>0.69000000000000039</v>
      </c>
      <c r="P26" s="55">
        <v>0.7000000000000004</v>
      </c>
    </row>
    <row r="27" spans="4:16" ht="26.25" customHeight="1" x14ac:dyDescent="0.2">
      <c r="G27" s="53">
        <v>0.71000000000000041</v>
      </c>
      <c r="H27" s="54">
        <v>0.72000000000000042</v>
      </c>
      <c r="I27" s="54">
        <v>0.73000000000000043</v>
      </c>
      <c r="J27" s="54">
        <v>0.74000000000000044</v>
      </c>
      <c r="K27" s="54">
        <v>0.75000000000000044</v>
      </c>
      <c r="L27" s="54">
        <v>0.76000000000000045</v>
      </c>
      <c r="M27" s="54">
        <v>0.77000000000000046</v>
      </c>
      <c r="N27" s="54">
        <v>0.78000000000000047</v>
      </c>
      <c r="O27" s="54">
        <v>0.79000000000000048</v>
      </c>
      <c r="P27" s="55">
        <v>0.80000000000000049</v>
      </c>
    </row>
    <row r="28" spans="4:16" ht="26.25" customHeight="1" x14ac:dyDescent="0.2">
      <c r="G28" s="53">
        <v>0.8100000000000005</v>
      </c>
      <c r="H28" s="54">
        <v>0.82000000000000051</v>
      </c>
      <c r="I28" s="54">
        <v>0.83000000000000052</v>
      </c>
      <c r="J28" s="54">
        <v>0.84000000000000052</v>
      </c>
      <c r="K28" s="54">
        <v>0.85000000000000053</v>
      </c>
      <c r="L28" s="54">
        <v>0.86000000000000054</v>
      </c>
      <c r="M28" s="54">
        <v>0.87000000000000055</v>
      </c>
      <c r="N28" s="54">
        <v>0.88000000000000056</v>
      </c>
      <c r="O28" s="54">
        <v>0.89000000000000057</v>
      </c>
      <c r="P28" s="55">
        <v>0.90000000000000058</v>
      </c>
    </row>
    <row r="29" spans="4:16" ht="26.25" customHeight="1" thickBot="1" x14ac:dyDescent="0.25">
      <c r="G29" s="56">
        <v>0.91000000000000059</v>
      </c>
      <c r="H29" s="57">
        <v>0.9200000000000006</v>
      </c>
      <c r="I29" s="57">
        <v>0.9300000000000006</v>
      </c>
      <c r="J29" s="57">
        <v>0.94000000000000061</v>
      </c>
      <c r="K29" s="57">
        <v>0.95000000000000062</v>
      </c>
      <c r="L29" s="57">
        <v>0.96000000000000063</v>
      </c>
      <c r="M29" s="57">
        <v>0.97000000000000064</v>
      </c>
      <c r="N29" s="57">
        <v>0.98000000000000065</v>
      </c>
      <c r="O29" s="57">
        <v>0.99000000000000066</v>
      </c>
      <c r="P29" s="58">
        <v>1.0000000000000007</v>
      </c>
    </row>
    <row r="32" spans="4:16" ht="15" x14ac:dyDescent="0.25">
      <c r="D32" s="4" t="s">
        <v>77</v>
      </c>
    </row>
    <row r="33" spans="7:16" ht="12.75" thickBot="1" x14ac:dyDescent="0.25"/>
    <row r="34" spans="7:16" ht="26.25" customHeight="1" x14ac:dyDescent="0.2">
      <c r="G34" s="50" cm="1">
        <f t="array" ref="G34:P43">_xlfn.SEQUENCE(10,10,1,-0.01)</f>
        <v>1</v>
      </c>
      <c r="H34" s="51">
        <v>0.99</v>
      </c>
      <c r="I34" s="51">
        <v>0.98</v>
      </c>
      <c r="J34" s="51">
        <v>0.97</v>
      </c>
      <c r="K34" s="51">
        <v>0.96</v>
      </c>
      <c r="L34" s="51">
        <v>0.95</v>
      </c>
      <c r="M34" s="51">
        <v>0.94</v>
      </c>
      <c r="N34" s="51">
        <v>0.92999999999999994</v>
      </c>
      <c r="O34" s="51">
        <v>0.91999999999999993</v>
      </c>
      <c r="P34" s="52">
        <v>0.90999999999999992</v>
      </c>
    </row>
    <row r="35" spans="7:16" ht="26.25" customHeight="1" x14ac:dyDescent="0.2">
      <c r="G35" s="53">
        <v>0.89999999999999991</v>
      </c>
      <c r="H35" s="54">
        <v>0.8899999999999999</v>
      </c>
      <c r="I35" s="54">
        <v>0.87999999999999989</v>
      </c>
      <c r="J35" s="54">
        <v>0.86999999999999988</v>
      </c>
      <c r="K35" s="54">
        <v>0.85999999999999988</v>
      </c>
      <c r="L35" s="54">
        <v>0.84999999999999987</v>
      </c>
      <c r="M35" s="54">
        <v>0.83999999999999986</v>
      </c>
      <c r="N35" s="54">
        <v>0.82999999999999985</v>
      </c>
      <c r="O35" s="54">
        <v>0.81999999999999984</v>
      </c>
      <c r="P35" s="55">
        <v>0.80999999999999983</v>
      </c>
    </row>
    <row r="36" spans="7:16" ht="26.25" customHeight="1" x14ac:dyDescent="0.2">
      <c r="G36" s="53">
        <v>0.79999999999999982</v>
      </c>
      <c r="H36" s="54">
        <v>0.78999999999999981</v>
      </c>
      <c r="I36" s="54">
        <v>0.7799999999999998</v>
      </c>
      <c r="J36" s="54">
        <v>0.7699999999999998</v>
      </c>
      <c r="K36" s="54">
        <v>0.75999999999999979</v>
      </c>
      <c r="L36" s="54">
        <v>0.74999999999999978</v>
      </c>
      <c r="M36" s="54">
        <v>0.73999999999999977</v>
      </c>
      <c r="N36" s="54">
        <v>0.72999999999999976</v>
      </c>
      <c r="O36" s="54">
        <v>0.71999999999999975</v>
      </c>
      <c r="P36" s="55">
        <v>0.70999999999999974</v>
      </c>
    </row>
    <row r="37" spans="7:16" ht="26.25" customHeight="1" x14ac:dyDescent="0.2">
      <c r="G37" s="53">
        <v>0.69999999999999973</v>
      </c>
      <c r="H37" s="54">
        <v>0.68999999999999972</v>
      </c>
      <c r="I37" s="54">
        <v>0.67999999999999972</v>
      </c>
      <c r="J37" s="54">
        <v>0.66999999999999971</v>
      </c>
      <c r="K37" s="54">
        <v>0.6599999999999997</v>
      </c>
      <c r="L37" s="54">
        <v>0.64999999999999969</v>
      </c>
      <c r="M37" s="54">
        <v>0.63999999999999968</v>
      </c>
      <c r="N37" s="54">
        <v>0.62999999999999967</v>
      </c>
      <c r="O37" s="54">
        <v>0.61999999999999966</v>
      </c>
      <c r="P37" s="55">
        <v>0.60999999999999965</v>
      </c>
    </row>
    <row r="38" spans="7:16" ht="26.25" customHeight="1" x14ac:dyDescent="0.2">
      <c r="G38" s="53">
        <v>0.59999999999999964</v>
      </c>
      <c r="H38" s="54">
        <v>0.58999999999999964</v>
      </c>
      <c r="I38" s="54">
        <v>0.57999999999999963</v>
      </c>
      <c r="J38" s="54">
        <v>0.56999999999999962</v>
      </c>
      <c r="K38" s="54">
        <v>0.55999999999999961</v>
      </c>
      <c r="L38" s="54">
        <v>0.5499999999999996</v>
      </c>
      <c r="M38" s="54">
        <v>0.53999999999999959</v>
      </c>
      <c r="N38" s="54">
        <v>0.52999999999999958</v>
      </c>
      <c r="O38" s="54">
        <v>0.51999999999999957</v>
      </c>
      <c r="P38" s="55">
        <v>0.50999999999999956</v>
      </c>
    </row>
    <row r="39" spans="7:16" ht="26.25" customHeight="1" x14ac:dyDescent="0.2">
      <c r="G39" s="53">
        <v>0.49999999999999956</v>
      </c>
      <c r="H39" s="54">
        <v>0.48999999999999955</v>
      </c>
      <c r="I39" s="54">
        <v>0.47999999999999954</v>
      </c>
      <c r="J39" s="54">
        <v>0.46999999999999953</v>
      </c>
      <c r="K39" s="54">
        <v>0.45999999999999952</v>
      </c>
      <c r="L39" s="54">
        <v>0.44999999999999951</v>
      </c>
      <c r="M39" s="54">
        <v>0.4399999999999995</v>
      </c>
      <c r="N39" s="54">
        <v>0.42999999999999949</v>
      </c>
      <c r="O39" s="54">
        <v>0.41999999999999948</v>
      </c>
      <c r="P39" s="55">
        <v>0.40999999999999948</v>
      </c>
    </row>
    <row r="40" spans="7:16" ht="26.25" customHeight="1" x14ac:dyDescent="0.2">
      <c r="G40" s="53">
        <v>0.39999999999999947</v>
      </c>
      <c r="H40" s="54">
        <v>0.38999999999999946</v>
      </c>
      <c r="I40" s="54">
        <v>0.37999999999999945</v>
      </c>
      <c r="J40" s="54">
        <v>0.36999999999999944</v>
      </c>
      <c r="K40" s="54">
        <v>0.35999999999999943</v>
      </c>
      <c r="L40" s="54">
        <v>0.34999999999999942</v>
      </c>
      <c r="M40" s="54">
        <v>0.33999999999999941</v>
      </c>
      <c r="N40" s="54">
        <v>0.3299999999999994</v>
      </c>
      <c r="O40" s="54">
        <v>0.3199999999999994</v>
      </c>
      <c r="P40" s="55">
        <v>0.30999999999999939</v>
      </c>
    </row>
    <row r="41" spans="7:16" ht="26.25" customHeight="1" x14ac:dyDescent="0.2">
      <c r="G41" s="53">
        <v>0.29999999999999938</v>
      </c>
      <c r="H41" s="54">
        <v>0.28999999999999937</v>
      </c>
      <c r="I41" s="54">
        <v>0.27999999999999936</v>
      </c>
      <c r="J41" s="54">
        <v>0.26999999999999935</v>
      </c>
      <c r="K41" s="54">
        <v>0.25999999999999934</v>
      </c>
      <c r="L41" s="54">
        <v>0.24999999999999933</v>
      </c>
      <c r="M41" s="54">
        <v>0.23999999999999932</v>
      </c>
      <c r="N41" s="54">
        <v>0.22999999999999932</v>
      </c>
      <c r="O41" s="54">
        <v>0.21999999999999931</v>
      </c>
      <c r="P41" s="55">
        <v>0.2099999999999993</v>
      </c>
    </row>
    <row r="42" spans="7:16" ht="26.25" customHeight="1" x14ac:dyDescent="0.2">
      <c r="G42" s="53">
        <v>0.19999999999999929</v>
      </c>
      <c r="H42" s="54">
        <v>0.18999999999999928</v>
      </c>
      <c r="I42" s="54">
        <v>0.17999999999999927</v>
      </c>
      <c r="J42" s="54">
        <v>0.16999999999999926</v>
      </c>
      <c r="K42" s="54">
        <v>0.15999999999999925</v>
      </c>
      <c r="L42" s="54">
        <v>0.14999999999999925</v>
      </c>
      <c r="M42" s="54">
        <v>0.13999999999999924</v>
      </c>
      <c r="N42" s="54">
        <v>0.12999999999999923</v>
      </c>
      <c r="O42" s="54">
        <v>0.11999999999999923</v>
      </c>
      <c r="P42" s="55">
        <v>0.10999999999999924</v>
      </c>
    </row>
    <row r="43" spans="7:16" ht="26.25" customHeight="1" thickBot="1" x14ac:dyDescent="0.25">
      <c r="G43" s="56">
        <v>9.9999999999999242E-2</v>
      </c>
      <c r="H43" s="57">
        <v>8.9999999999999247E-2</v>
      </c>
      <c r="I43" s="57">
        <v>7.9999999999999252E-2</v>
      </c>
      <c r="J43" s="57">
        <v>6.9999999999999257E-2</v>
      </c>
      <c r="K43" s="57">
        <v>5.9999999999999255E-2</v>
      </c>
      <c r="L43" s="57">
        <v>4.9999999999999253E-2</v>
      </c>
      <c r="M43" s="57">
        <v>3.9999999999999251E-2</v>
      </c>
      <c r="N43" s="57">
        <v>2.9999999999999249E-2</v>
      </c>
      <c r="O43" s="57">
        <v>1.9999999999999248E-2</v>
      </c>
      <c r="P43" s="58">
        <v>9.9999999999992473E-3</v>
      </c>
    </row>
    <row r="45" spans="7:16" x14ac:dyDescent="0.2">
      <c r="G45" s="49"/>
      <c r="H45" s="49"/>
      <c r="I45" s="49"/>
      <c r="J45" s="49"/>
      <c r="K45" s="49"/>
      <c r="L45" s="49"/>
      <c r="M45" s="49"/>
      <c r="N45" s="49"/>
      <c r="O45" s="49"/>
      <c r="P45" s="49"/>
    </row>
  </sheetData>
  <mergeCells count="1">
    <mergeCell ref="A3:E3"/>
  </mergeCells>
  <conditionalFormatting sqref="F4">
    <cfRule type="cellIs" dxfId="16" priority="89" operator="notEqual">
      <formula>0</formula>
    </cfRule>
  </conditionalFormatting>
  <conditionalFormatting sqref="G20:P29">
    <cfRule type="expression" dxfId="15" priority="20">
      <formula>G20=$D$11</formula>
    </cfRule>
    <cfRule type="expression" dxfId="14" priority="21">
      <formula>G20=SUM($D$11:$D$12)</formula>
    </cfRule>
    <cfRule type="expression" dxfId="13" priority="19">
      <formula>G20=SUM($D$11:$D$13)</formula>
    </cfRule>
    <cfRule type="expression" dxfId="12" priority="22">
      <formula>G20&lt;$D$11</formula>
    </cfRule>
    <cfRule type="expression" dxfId="11" priority="23">
      <formula>AND(G20&gt;$D$11,G20&lt;SUM($D$11:$D$12))</formula>
    </cfRule>
    <cfRule type="expression" dxfId="10" priority="24">
      <formula>AND(G20&gt;SUM($D$11:$D$12),G20&lt;SUM($D$11:$D$13))</formula>
    </cfRule>
  </conditionalFormatting>
  <conditionalFormatting sqref="G34:P43">
    <cfRule type="expression" dxfId="9" priority="7">
      <formula>G34=$D$11</formula>
    </cfRule>
    <cfRule type="expression" dxfId="8" priority="8">
      <formula>G34=SUM($D$11:$D$12)</formula>
    </cfRule>
    <cfRule type="expression" dxfId="7" priority="9">
      <formula>G34=SUM($D$11:$D$13)</formula>
    </cfRule>
    <cfRule type="expression" dxfId="6" priority="10">
      <formula>G34&lt;$D$11</formula>
    </cfRule>
    <cfRule type="expression" dxfId="5" priority="11">
      <formula>AND(G34&gt;$D$11,G34&lt;SUM($D$11:$D$12))</formula>
    </cfRule>
    <cfRule type="expression" dxfId="4" priority="12">
      <formula>AND(G34&gt;SUM($D$11:$D$12),G34&lt;SUM($D$11:$D$13))</formula>
    </cfRule>
  </conditionalFormatting>
  <dataValidations count="1">
    <dataValidation type="decimal" allowBlank="1" showInputMessage="1" showErrorMessage="1" sqref="D11:D13" xr:uid="{110357AD-8CA2-42E9-B51D-59AC86DD5F69}">
      <formula1>0</formula1>
      <formula2>1</formula2>
    </dataValidation>
  </dataValidations>
  <hyperlinks>
    <hyperlink ref="F4" location="Overall_Error_Check" tooltip="Go to Overall Error Check" display="Overall_Error_Check" xr:uid="{17C4D65B-3FE1-42CB-9F7C-11DED1E264D9}"/>
    <hyperlink ref="A3:E3" location="HL_Navigator" tooltip="Go to Navigator (Table of Contents)" display="Navigator" xr:uid="{DBBE93CC-FF20-4814-A4EE-3E9BD9A0988E}"/>
    <hyperlink ref="A3" location="HL_Navigator" display="Navigator" xr:uid="{FDAEB5B7-AF6E-4310-95C2-B67CACB05E48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outlinePr summaryBelow="0"/>
  </sheetPr>
  <dimension ref="A1:R19"/>
  <sheetViews>
    <sheetView showGridLines="0" workbookViewId="0">
      <pane ySplit="4" topLeftCell="A5" activePane="bottomLeft" state="frozen"/>
      <selection pane="bottomLeft" activeCell="A3" sqref="A3:E3"/>
    </sheetView>
  </sheetViews>
  <sheetFormatPr defaultColWidth="0" defaultRowHeight="12" outlineLevelRow="1" x14ac:dyDescent="0.2"/>
  <cols>
    <col min="1" max="5" width="3.7109375" customWidth="1"/>
    <col min="6" max="12" width="9.140625" customWidth="1"/>
    <col min="13" max="18" width="0" hidden="1" customWidth="1"/>
    <col min="19" max="16384" width="9.140625" hidden="1"/>
  </cols>
  <sheetData>
    <row r="1" spans="1:11" ht="20.25" x14ac:dyDescent="0.3">
      <c r="A1" s="40" t="str">
        <f ca="1">IF(ISERROR(RIGHT(CELL("filename",A1),LEN(CELL("filename",A1))-FIND("]",CELL("filename",A1)))),
"",
RIGHT(CELL("filename",A1),LEN(CELL("filename",A1))-FIND("]",CELL("filename",A1))))</f>
        <v>Error Checks</v>
      </c>
    </row>
    <row r="2" spans="1:11" ht="18" x14ac:dyDescent="0.25">
      <c r="A2" s="41" t="str">
        <f ca="1">Model_Name</f>
        <v>Waffle Chart.xlsm</v>
      </c>
    </row>
    <row r="3" spans="1:11" x14ac:dyDescent="0.2">
      <c r="A3" s="70" t="s">
        <v>1</v>
      </c>
      <c r="B3" s="70"/>
      <c r="C3" s="70"/>
      <c r="D3" s="70"/>
      <c r="E3" s="70"/>
    </row>
    <row r="4" spans="1:11" ht="14.25" x14ac:dyDescent="0.2">
      <c r="B4" t="s">
        <v>2</v>
      </c>
      <c r="F4" s="1">
        <f>Overall_Error_Check</f>
        <v>0</v>
      </c>
    </row>
    <row r="5" spans="1:11" x14ac:dyDescent="0.2">
      <c r="A5" s="11"/>
    </row>
    <row r="6" spans="1:11" ht="16.5" thickBot="1" x14ac:dyDescent="0.3">
      <c r="B6" s="42">
        <f>MAX($B$5:$B5)+1</f>
        <v>1</v>
      </c>
      <c r="C6" s="2" t="s">
        <v>64</v>
      </c>
      <c r="D6" s="2"/>
      <c r="E6" s="2"/>
      <c r="F6" s="2"/>
      <c r="G6" s="2"/>
      <c r="H6" s="2"/>
      <c r="I6" s="2"/>
      <c r="J6" s="2"/>
      <c r="K6" s="2"/>
    </row>
    <row r="7" spans="1:11" ht="12.75" outlineLevel="1" thickTop="1" x14ac:dyDescent="0.2"/>
    <row r="8" spans="1:11" ht="16.5" outlineLevel="1" x14ac:dyDescent="0.25">
      <c r="C8" s="3" t="s">
        <v>65</v>
      </c>
    </row>
    <row r="9" spans="1:11" ht="16.5" outlineLevel="1" x14ac:dyDescent="0.25">
      <c r="C9" s="3"/>
    </row>
    <row r="10" spans="1:11" ht="16.5" outlineLevel="1" x14ac:dyDescent="0.25">
      <c r="C10" s="3"/>
      <c r="D10" s="4" t="s">
        <v>66</v>
      </c>
    </row>
    <row r="11" spans="1:11" outlineLevel="1" x14ac:dyDescent="0.2"/>
    <row r="12" spans="1:11" ht="14.25" outlineLevel="1" x14ac:dyDescent="0.2">
      <c r="E12" t="s">
        <v>67</v>
      </c>
      <c r="I12" s="37"/>
    </row>
    <row r="13" spans="1:11" outlineLevel="1" x14ac:dyDescent="0.2"/>
    <row r="14" spans="1:11" outlineLevel="1" x14ac:dyDescent="0.2"/>
    <row r="15" spans="1:11" outlineLevel="1" x14ac:dyDescent="0.2"/>
    <row r="16" spans="1:11" outlineLevel="1" x14ac:dyDescent="0.2"/>
    <row r="17" spans="5:11" ht="15" outlineLevel="1" x14ac:dyDescent="0.25">
      <c r="E17" s="4" t="str">
        <f>C8</f>
        <v>Summary of Errors</v>
      </c>
      <c r="I17" s="1">
        <f>MIN(1,SUM(I11:I15))</f>
        <v>0</v>
      </c>
      <c r="K17" s="11"/>
    </row>
    <row r="18" spans="5:11" outlineLevel="1" x14ac:dyDescent="0.2"/>
    <row r="19" spans="5:11" outlineLevel="1" x14ac:dyDescent="0.2"/>
  </sheetData>
  <mergeCells count="1">
    <mergeCell ref="A3:E3"/>
  </mergeCells>
  <conditionalFormatting sqref="I17">
    <cfRule type="cellIs" dxfId="3" priority="5" operator="notEqual">
      <formula>0</formula>
    </cfRule>
  </conditionalFormatting>
  <conditionalFormatting sqref="I12">
    <cfRule type="cellIs" dxfId="2" priority="4" operator="notEqual">
      <formula>0</formula>
    </cfRule>
  </conditionalFormatting>
  <conditionalFormatting sqref="I12">
    <cfRule type="cellIs" dxfId="1" priority="3" operator="notEqual">
      <formula>0</formula>
    </cfRule>
  </conditionalFormatting>
  <conditionalFormatting sqref="F4">
    <cfRule type="cellIs" dxfId="0" priority="1" operator="notEqual">
      <formula>0</formula>
    </cfRule>
  </conditionalFormatting>
  <hyperlinks>
    <hyperlink ref="F4" location="Overall_Error_Check" tooltip="Go to Overall Error Check" display="Overall_Error_Check" xr:uid="{00000000-0004-0000-0500-000000000000}"/>
    <hyperlink ref="A3:E3" location="HL_Navigator" tooltip="Go to Navigator (Table of Contents)" display="Navigator" xr:uid="{00000000-0004-0000-0500-000001000000}"/>
    <hyperlink ref="A3" location="HL_Navigator" display="Navigator" xr:uid="{00000000-0004-0000-0500-000002000000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f58d06b-05e3-4c65-85ba-22cd93c7683f">
      <Terms xmlns="http://schemas.microsoft.com/office/infopath/2007/PartnerControls"/>
    </lcf76f155ced4ddcb4097134ff3c332f>
    <TaxCatchAll xmlns="ac914b5e-6dd4-4de9-b905-57df3d54023d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5FE75ECA439A049B41314814B7E4B57" ma:contentTypeVersion="18" ma:contentTypeDescription="Create a new document." ma:contentTypeScope="" ma:versionID="2065a112f9ac8af0572f0fe5183967ae">
  <xsd:schema xmlns:xsd="http://www.w3.org/2001/XMLSchema" xmlns:xs="http://www.w3.org/2001/XMLSchema" xmlns:p="http://schemas.microsoft.com/office/2006/metadata/properties" xmlns:ns2="ff58d06b-05e3-4c65-85ba-22cd93c7683f" xmlns:ns3="ac914b5e-6dd4-4de9-b905-57df3d54023d" targetNamespace="http://schemas.microsoft.com/office/2006/metadata/properties" ma:root="true" ma:fieldsID="0af206870a95402b1da570ef0bccdd5c" ns2:_="" ns3:_="">
    <xsd:import namespace="ff58d06b-05e3-4c65-85ba-22cd93c7683f"/>
    <xsd:import namespace="ac914b5e-6dd4-4de9-b905-57df3d5402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58d06b-05e3-4c65-85ba-22cd93c7683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ba3f6a92-6300-485e-b0cc-b70aa89c14b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5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914b5e-6dd4-4de9-b905-57df3d54023d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60b4198c-4b14-49cc-8beb-9042bcb4eee8}" ma:internalName="TaxCatchAll" ma:showField="CatchAllData" ma:web="ac914b5e-6dd4-4de9-b905-57df3d54023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A619791-D556-4F22-833E-9B506B249334}">
  <ds:schemaRefs>
    <ds:schemaRef ds:uri="http://schemas.microsoft.com/office/2006/metadata/properties"/>
    <ds:schemaRef ds:uri="http://purl.org/dc/dcmitype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ff58d06b-05e3-4c65-85ba-22cd93c7683f"/>
    <ds:schemaRef ds:uri="http://www.w3.org/XML/1998/namespace"/>
    <ds:schemaRef ds:uri="ac914b5e-6dd4-4de9-b905-57df3d54023d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4F4E4C38-BF52-4BF4-B7C4-8E4875C370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4046504-DC67-428E-8F40-D7D8DD25D0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f58d06b-05e3-4c65-85ba-22cd93c7683f"/>
    <ds:schemaRef ds:uri="ac914b5e-6dd4-4de9-b905-57df3d5402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23</vt:i4>
      </vt:variant>
    </vt:vector>
  </HeadingPairs>
  <TitlesOfParts>
    <vt:vector size="30" baseType="lpstr">
      <vt:lpstr>Cover</vt:lpstr>
      <vt:lpstr>Navigator</vt:lpstr>
      <vt:lpstr>Style Guide</vt:lpstr>
      <vt:lpstr>Model Parameters</vt:lpstr>
      <vt:lpstr>Simple Waffle Chart</vt:lpstr>
      <vt:lpstr>Stacked Waffle Chart</vt:lpstr>
      <vt:lpstr>Error Checks</vt:lpstr>
      <vt:lpstr>Client_Name</vt:lpstr>
      <vt:lpstr>Days_in_Year</vt:lpstr>
      <vt:lpstr>HL_1</vt:lpstr>
      <vt:lpstr>HL_3</vt:lpstr>
      <vt:lpstr>HL_4</vt:lpstr>
      <vt:lpstr>'Stacked Waffle Chart'!HL_5</vt:lpstr>
      <vt:lpstr>HL_5</vt:lpstr>
      <vt:lpstr>HL_6</vt:lpstr>
      <vt:lpstr>'Stacked Waffle Chart'!HL_7</vt:lpstr>
      <vt:lpstr>HL_7</vt:lpstr>
      <vt:lpstr>HL_Model_Parameters</vt:lpstr>
      <vt:lpstr>HL_Navigator</vt:lpstr>
      <vt:lpstr>Model_Name</vt:lpstr>
      <vt:lpstr>Months_in_Half_Yr</vt:lpstr>
      <vt:lpstr>Months_in_Month</vt:lpstr>
      <vt:lpstr>Months_in_Qtr</vt:lpstr>
      <vt:lpstr>Months_in_Year</vt:lpstr>
      <vt:lpstr>Overall_Error_Check</vt:lpstr>
      <vt:lpstr>Quarters_in_Year</vt:lpstr>
      <vt:lpstr>Rounding_Accuracy</vt:lpstr>
      <vt:lpstr>Thousand</vt:lpstr>
      <vt:lpstr>Very_Large_Number</vt:lpstr>
      <vt:lpstr>Very_Small_Number</vt:lpstr>
    </vt:vector>
  </TitlesOfParts>
  <Company>SumProduct Pty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Liam</dc:creator>
  <cp:lastModifiedBy>Sam Ngo</cp:lastModifiedBy>
  <dcterms:created xsi:type="dcterms:W3CDTF">2012-10-20T20:39:47Z</dcterms:created>
  <dcterms:modified xsi:type="dcterms:W3CDTF">2025-02-17T22:55:18Z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0x01010015FE75ECA439A049B41314814B7E4B57</vt:lpwstr>
  </property>
  <property fmtid="{D5CDD505-2E9C-101B-9397-08002B2CF9AE}" pid="3" name="MediaServiceImageTags">
    <vt:lpwstr/>
  </property>
</Properties>
</file>