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mproduct0.sharepoint.com/sites/SumProductTeam/Shared Documents/General/Sam/Chart Development/Raincloud Chart/"/>
    </mc:Choice>
  </mc:AlternateContent>
  <xr:revisionPtr revIDLastSave="858" documentId="13_ncr:1_{D06EC6A4-AD6B-4A67-AED2-98FAD9611646}" xr6:coauthVersionLast="47" xr6:coauthVersionMax="47" xr10:uidLastSave="{2AF4E4AA-7705-49CE-8A42-BFECF37E0296}"/>
  <bookViews>
    <workbookView xWindow="28680" yWindow="-120" windowWidth="29040" windowHeight="15720" firstSheet="2" activeTab="5" xr2:uid="{00000000-000D-0000-FFFF-FFFF00000000}"/>
  </bookViews>
  <sheets>
    <sheet name="Cover" sheetId="1" r:id="rId1"/>
    <sheet name="Navigator" sheetId="3" r:id="rId2"/>
    <sheet name="Style Guide" sheetId="4" r:id="rId3"/>
    <sheet name="Model Parameters" sheetId="2" r:id="rId4"/>
    <sheet name="Horizontal Raincloud Bar Cloud" sheetId="10" r:id="rId5"/>
    <sheet name="Horz Raincloud True Cloud" sheetId="12" r:id="rId6"/>
    <sheet name="Horizontal Raincloud - 3 Clouds" sheetId="11" r:id="rId7"/>
    <sheet name="Error Checks" sheetId="5" r:id="rId8"/>
  </sheets>
  <definedNames>
    <definedName name="Chart_Frequency">_xlfn.ANCHORARRAY('Horz Raincloud True Cloud'!$L$23)</definedName>
    <definedName name="Chart_Upper_Bin">_xlfn.ANCHORARRAY('Horz Raincloud True Cloud'!$I$23)</definedName>
    <definedName name="Client_Name">'Model Parameters'!$G$12</definedName>
    <definedName name="Days_in_Year">'Model Parameters'!$G$19</definedName>
    <definedName name="HL_1">Cover!$A$3</definedName>
    <definedName name="HL_3">'Style Guide'!$A$3</definedName>
    <definedName name="HL_4">'Model Parameters'!$A$3</definedName>
    <definedName name="HL_5" localSheetId="5">'Horz Raincloud True Cloud'!$A$3</definedName>
    <definedName name="HL_5">'Horizontal Raincloud Bar Cloud'!$A$3</definedName>
    <definedName name="HL_6" localSheetId="6">'Horizontal Raincloud - 3 Clouds'!$A$3</definedName>
    <definedName name="HL_6" localSheetId="5">'Horz Raincloud True Cloud'!$A$3</definedName>
    <definedName name="HL_6">'Horizontal Raincloud Bar Cloud'!$A$3</definedName>
    <definedName name="HL_7">'Error Checks'!$A$3</definedName>
    <definedName name="HL_8">'Error Checks'!$A$3</definedName>
    <definedName name="HL_Model_Parameters">'Model Parameters'!$A$5</definedName>
    <definedName name="HL_Navigator">Navigator!$A$1</definedName>
    <definedName name="Model_Name">'Model Parameters'!$G$11</definedName>
    <definedName name="Months_in_Half_Yr">'Model Parameters'!$G$22</definedName>
    <definedName name="Months_in_Month">'Model Parameters'!$G$20</definedName>
    <definedName name="Months_in_Qtr">'Model Parameters'!$G$21</definedName>
    <definedName name="Months_in_Year">'Model Parameters'!$G$23</definedName>
    <definedName name="Overall_Error_Check">'Error Checks'!$I$17</definedName>
    <definedName name="_xlnm.Print_Area" localSheetId="6">'Horizontal Raincloud - 3 Clouds'!$A$1:$AM$69</definedName>
    <definedName name="Quarters_in_Year">'Model Parameters'!$G$24</definedName>
    <definedName name="Rounding_Accuracy">'Model Parameters'!$G$26</definedName>
    <definedName name="solver_adj" localSheetId="6" hidden="1">'Horizontal Raincloud - 3 Clouds'!#REF!</definedName>
    <definedName name="solver_adj" localSheetId="4" hidden="1">'Horizontal Raincloud Bar Cloud'!#REF!</definedName>
    <definedName name="solver_adj" localSheetId="5" hidden="1">'Horz Raincloud True Cloud'!#REF!</definedName>
    <definedName name="solver_cvg" localSheetId="6" hidden="1">0.0001</definedName>
    <definedName name="solver_cvg" localSheetId="4" hidden="1">0.0001</definedName>
    <definedName name="solver_cvg" localSheetId="5" hidden="1">0.0001</definedName>
    <definedName name="solver_drv" localSheetId="6" hidden="1">1</definedName>
    <definedName name="solver_drv" localSheetId="4" hidden="1">1</definedName>
    <definedName name="solver_drv" localSheetId="5" hidden="1">1</definedName>
    <definedName name="solver_eng" localSheetId="6" hidden="1">1</definedName>
    <definedName name="solver_eng" localSheetId="4" hidden="1">1</definedName>
    <definedName name="solver_eng" localSheetId="5" hidden="1">1</definedName>
    <definedName name="solver_est" localSheetId="6" hidden="1">1</definedName>
    <definedName name="solver_est" localSheetId="4" hidden="1">1</definedName>
    <definedName name="solver_est" localSheetId="5" hidden="1">1</definedName>
    <definedName name="solver_itr" localSheetId="6" hidden="1">2147483647</definedName>
    <definedName name="solver_itr" localSheetId="4" hidden="1">2147483647</definedName>
    <definedName name="solver_itr" localSheetId="5" hidden="1">2147483647</definedName>
    <definedName name="solver_mip" localSheetId="6" hidden="1">2147483647</definedName>
    <definedName name="solver_mip" localSheetId="4" hidden="1">2147483647</definedName>
    <definedName name="solver_mip" localSheetId="5" hidden="1">2147483647</definedName>
    <definedName name="solver_mni" localSheetId="6" hidden="1">30</definedName>
    <definedName name="solver_mni" localSheetId="4" hidden="1">30</definedName>
    <definedName name="solver_mni" localSheetId="5" hidden="1">30</definedName>
    <definedName name="solver_mrt" localSheetId="6" hidden="1">0.075</definedName>
    <definedName name="solver_mrt" localSheetId="4" hidden="1">0.075</definedName>
    <definedName name="solver_mrt" localSheetId="5" hidden="1">0.075</definedName>
    <definedName name="solver_msl" localSheetId="6" hidden="1">2</definedName>
    <definedName name="solver_msl" localSheetId="4" hidden="1">2</definedName>
    <definedName name="solver_msl" localSheetId="5" hidden="1">2</definedName>
    <definedName name="solver_neg" localSheetId="6" hidden="1">1</definedName>
    <definedName name="solver_neg" localSheetId="4" hidden="1">1</definedName>
    <definedName name="solver_neg" localSheetId="5" hidden="1">1</definedName>
    <definedName name="solver_nod" localSheetId="6" hidden="1">2147483647</definedName>
    <definedName name="solver_nod" localSheetId="4" hidden="1">2147483647</definedName>
    <definedName name="solver_nod" localSheetId="5" hidden="1">2147483647</definedName>
    <definedName name="solver_num" localSheetId="6" hidden="1">0</definedName>
    <definedName name="solver_num" localSheetId="4" hidden="1">0</definedName>
    <definedName name="solver_num" localSheetId="5" hidden="1">0</definedName>
    <definedName name="solver_nwt" localSheetId="6" hidden="1">1</definedName>
    <definedName name="solver_nwt" localSheetId="4" hidden="1">1</definedName>
    <definedName name="solver_nwt" localSheetId="5" hidden="1">1</definedName>
    <definedName name="solver_opt" localSheetId="6" hidden="1">'Horizontal Raincloud - 3 Clouds'!#REF!</definedName>
    <definedName name="solver_opt" localSheetId="4" hidden="1">'Horizontal Raincloud Bar Cloud'!#REF!</definedName>
    <definedName name="solver_opt" localSheetId="5" hidden="1">'Horz Raincloud True Cloud'!#REF!</definedName>
    <definedName name="solver_pre" localSheetId="6" hidden="1">0.000001</definedName>
    <definedName name="solver_pre" localSheetId="4" hidden="1">0.000001</definedName>
    <definedName name="solver_pre" localSheetId="5" hidden="1">0.000001</definedName>
    <definedName name="solver_rbv" localSheetId="6" hidden="1">1</definedName>
    <definedName name="solver_rbv" localSheetId="4" hidden="1">1</definedName>
    <definedName name="solver_rbv" localSheetId="5" hidden="1">1</definedName>
    <definedName name="solver_rlx" localSheetId="6" hidden="1">2</definedName>
    <definedName name="solver_rlx" localSheetId="4" hidden="1">2</definedName>
    <definedName name="solver_rlx" localSheetId="5" hidden="1">2</definedName>
    <definedName name="solver_rsd" localSheetId="6" hidden="1">0</definedName>
    <definedName name="solver_rsd" localSheetId="4" hidden="1">0</definedName>
    <definedName name="solver_rsd" localSheetId="5" hidden="1">0</definedName>
    <definedName name="solver_scl" localSheetId="6" hidden="1">1</definedName>
    <definedName name="solver_scl" localSheetId="4" hidden="1">1</definedName>
    <definedName name="solver_scl" localSheetId="5" hidden="1">1</definedName>
    <definedName name="solver_sho" localSheetId="6" hidden="1">2</definedName>
    <definedName name="solver_sho" localSheetId="4" hidden="1">2</definedName>
    <definedName name="solver_sho" localSheetId="5" hidden="1">2</definedName>
    <definedName name="solver_ssz" localSheetId="6" hidden="1">100</definedName>
    <definedName name="solver_ssz" localSheetId="4" hidden="1">100</definedName>
    <definedName name="solver_ssz" localSheetId="5" hidden="1">100</definedName>
    <definedName name="solver_tim" localSheetId="6" hidden="1">2147483647</definedName>
    <definedName name="solver_tim" localSheetId="4" hidden="1">2147483647</definedName>
    <definedName name="solver_tim" localSheetId="5" hidden="1">2147483647</definedName>
    <definedName name="solver_tol" localSheetId="6" hidden="1">0.01</definedName>
    <definedName name="solver_tol" localSheetId="4" hidden="1">0.01</definedName>
    <definedName name="solver_tol" localSheetId="5" hidden="1">0.01</definedName>
    <definedName name="solver_typ" localSheetId="6" hidden="1">3</definedName>
    <definedName name="solver_typ" localSheetId="4" hidden="1">3</definedName>
    <definedName name="solver_typ" localSheetId="5" hidden="1">3</definedName>
    <definedName name="solver_val" localSheetId="6" hidden="1">0</definedName>
    <definedName name="solver_val" localSheetId="4" hidden="1">0</definedName>
    <definedName name="solver_val" localSheetId="5" hidden="1">0</definedName>
    <definedName name="solver_ver" localSheetId="6" hidden="1">3</definedName>
    <definedName name="solver_ver" localSheetId="4" hidden="1">3</definedName>
    <definedName name="solver_ver" localSheetId="5" hidden="1">3</definedName>
    <definedName name="Thousand">'Model Parameters'!$G$31</definedName>
    <definedName name="Very_Large_Number">'Model Parameters'!$G$28</definedName>
    <definedName name="Very_Small_Number">'Model Parameters'!$G$29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1" i="12" l="1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10" i="12"/>
  <c r="K19" i="12"/>
  <c r="B6" i="12"/>
  <c r="A1" i="12"/>
  <c r="E10" i="10"/>
  <c r="F10" i="10" s="1"/>
  <c r="G10" i="10" s="1"/>
  <c r="E11" i="10"/>
  <c r="F11" i="10" s="1"/>
  <c r="G11" i="10" s="1"/>
  <c r="E12" i="10"/>
  <c r="F12" i="10" s="1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F14" i="10" l="1"/>
  <c r="G14" i="10" s="1"/>
  <c r="F20" i="10"/>
  <c r="G20" i="10" s="1"/>
  <c r="E10" i="12"/>
  <c r="E136" i="12"/>
  <c r="E115" i="12"/>
  <c r="E118" i="12"/>
  <c r="E117" i="12"/>
  <c r="E124" i="12"/>
  <c r="E130" i="12"/>
  <c r="E129" i="12"/>
  <c r="E121" i="12"/>
  <c r="E131" i="12"/>
  <c r="E137" i="12"/>
  <c r="E116" i="12"/>
  <c r="E123" i="12"/>
  <c r="E122" i="12"/>
  <c r="E128" i="12"/>
  <c r="E127" i="12"/>
  <c r="E112" i="12"/>
  <c r="E114" i="12"/>
  <c r="E134" i="12"/>
  <c r="E120" i="12"/>
  <c r="E133" i="12"/>
  <c r="E126" i="12"/>
  <c r="E132" i="12"/>
  <c r="E125" i="12"/>
  <c r="E111" i="12"/>
  <c r="E135" i="12"/>
  <c r="E113" i="12"/>
  <c r="E119" i="12"/>
  <c r="E105" i="12"/>
  <c r="E92" i="12"/>
  <c r="E93" i="12"/>
  <c r="E99" i="12"/>
  <c r="E73" i="12"/>
  <c r="E104" i="12"/>
  <c r="E110" i="12"/>
  <c r="E103" i="12"/>
  <c r="E96" i="12"/>
  <c r="E98" i="12"/>
  <c r="E97" i="12"/>
  <c r="E109" i="12"/>
  <c r="E102" i="12"/>
  <c r="E95" i="12"/>
  <c r="E108" i="12"/>
  <c r="E101" i="12"/>
  <c r="E94" i="12"/>
  <c r="E107" i="12"/>
  <c r="E100" i="12"/>
  <c r="E106" i="12"/>
  <c r="E86" i="12"/>
  <c r="E88" i="12"/>
  <c r="E71" i="12"/>
  <c r="E70" i="12"/>
  <c r="E75" i="12"/>
  <c r="E76" i="12"/>
  <c r="E81" i="12"/>
  <c r="E91" i="12"/>
  <c r="E83" i="12"/>
  <c r="E89" i="12"/>
  <c r="E74" i="12"/>
  <c r="E77" i="12"/>
  <c r="E90" i="12"/>
  <c r="E82" i="12"/>
  <c r="E79" i="12"/>
  <c r="E84" i="12"/>
  <c r="E87" i="12"/>
  <c r="E80" i="12"/>
  <c r="E72" i="12"/>
  <c r="E78" i="12"/>
  <c r="E85" i="12"/>
  <c r="E66" i="12"/>
  <c r="E21" i="12"/>
  <c r="E50" i="12"/>
  <c r="E52" i="12"/>
  <c r="E56" i="12"/>
  <c r="E49" i="12"/>
  <c r="E51" i="12"/>
  <c r="E53" i="12"/>
  <c r="E54" i="12"/>
  <c r="E55" i="12"/>
  <c r="E29" i="12"/>
  <c r="E58" i="12"/>
  <c r="E59" i="12"/>
  <c r="E60" i="12"/>
  <c r="E61" i="12"/>
  <c r="E34" i="12"/>
  <c r="E64" i="12"/>
  <c r="E37" i="12"/>
  <c r="E67" i="12"/>
  <c r="E69" i="12"/>
  <c r="E20" i="12"/>
  <c r="E42" i="12"/>
  <c r="E48" i="12"/>
  <c r="E44" i="12"/>
  <c r="E25" i="12"/>
  <c r="E22" i="12"/>
  <c r="E23" i="12"/>
  <c r="E24" i="12"/>
  <c r="E26" i="12"/>
  <c r="E27" i="12"/>
  <c r="E28" i="12"/>
  <c r="E57" i="12"/>
  <c r="E30" i="12"/>
  <c r="E31" i="12"/>
  <c r="E32" i="12"/>
  <c r="E33" i="12"/>
  <c r="E13" i="12"/>
  <c r="E62" i="12"/>
  <c r="E35" i="12"/>
  <c r="E65" i="12"/>
  <c r="E38" i="12"/>
  <c r="E68" i="12"/>
  <c r="E11" i="12"/>
  <c r="E12" i="12"/>
  <c r="E63" i="12"/>
  <c r="E14" i="12"/>
  <c r="E36" i="12"/>
  <c r="E15" i="12"/>
  <c r="E39" i="12"/>
  <c r="E16" i="12"/>
  <c r="E40" i="12"/>
  <c r="E41" i="12"/>
  <c r="E17" i="12"/>
  <c r="E43" i="12"/>
  <c r="E18" i="12"/>
  <c r="E45" i="12"/>
  <c r="E19" i="12"/>
  <c r="E46" i="12"/>
  <c r="E47" i="12"/>
  <c r="F15" i="10"/>
  <c r="G15" i="10" s="1"/>
  <c r="F32" i="10"/>
  <c r="G32" i="10" s="1"/>
  <c r="F65" i="10"/>
  <c r="G65" i="10" s="1"/>
  <c r="F53" i="10"/>
  <c r="G53" i="10" s="1"/>
  <c r="F29" i="10"/>
  <c r="F17" i="10"/>
  <c r="F44" i="10"/>
  <c r="G44" i="10" s="1"/>
  <c r="F16" i="10"/>
  <c r="G16" i="10" s="1"/>
  <c r="F13" i="10"/>
  <c r="G13" i="10" s="1"/>
  <c r="F52" i="10"/>
  <c r="G52" i="10" s="1"/>
  <c r="F66" i="10"/>
  <c r="F54" i="10"/>
  <c r="G54" i="10" s="1"/>
  <c r="F42" i="10"/>
  <c r="F30" i="10"/>
  <c r="G30" i="10" s="1"/>
  <c r="F18" i="10"/>
  <c r="F41" i="10"/>
  <c r="G41" i="10" s="1"/>
  <c r="F63" i="10"/>
  <c r="G63" i="10" s="1"/>
  <c r="F51" i="10"/>
  <c r="F39" i="10"/>
  <c r="G39" i="10" s="1"/>
  <c r="F27" i="10"/>
  <c r="F62" i="10"/>
  <c r="G62" i="10" s="1"/>
  <c r="F50" i="10"/>
  <c r="G50" i="10" s="1"/>
  <c r="F38" i="10"/>
  <c r="G38" i="10" s="1"/>
  <c r="F26" i="10"/>
  <c r="G26" i="10" s="1"/>
  <c r="F40" i="10"/>
  <c r="G40" i="10" s="1"/>
  <c r="F61" i="10"/>
  <c r="G61" i="10" s="1"/>
  <c r="F49" i="10"/>
  <c r="F37" i="10"/>
  <c r="G37" i="10" s="1"/>
  <c r="F25" i="10"/>
  <c r="G25" i="10" s="1"/>
  <c r="F24" i="10"/>
  <c r="G24" i="10" s="1"/>
  <c r="F64" i="10"/>
  <c r="F36" i="10"/>
  <c r="G36" i="10" s="1"/>
  <c r="F47" i="10"/>
  <c r="F35" i="10"/>
  <c r="G35" i="10" s="1"/>
  <c r="F23" i="10"/>
  <c r="F48" i="10"/>
  <c r="G48" i="10" s="1"/>
  <c r="F58" i="10"/>
  <c r="F34" i="10"/>
  <c r="F22" i="10"/>
  <c r="G22" i="10" s="1"/>
  <c r="F46" i="10"/>
  <c r="G46" i="10" s="1"/>
  <c r="F57" i="10"/>
  <c r="G57" i="10" s="1"/>
  <c r="F33" i="10"/>
  <c r="F21" i="10"/>
  <c r="G21" i="10" s="1"/>
  <c r="F28" i="10"/>
  <c r="G28" i="10" s="1"/>
  <c r="F59" i="10"/>
  <c r="F69" i="10"/>
  <c r="G69" i="10" s="1"/>
  <c r="F45" i="10"/>
  <c r="G45" i="10" s="1"/>
  <c r="F68" i="10"/>
  <c r="G68" i="10" s="1"/>
  <c r="F56" i="10"/>
  <c r="F60" i="10"/>
  <c r="G60" i="10" s="1"/>
  <c r="F67" i="10"/>
  <c r="G67" i="10" s="1"/>
  <c r="F55" i="10"/>
  <c r="G55" i="10" s="1"/>
  <c r="F43" i="10"/>
  <c r="G43" i="10" s="1"/>
  <c r="F31" i="10"/>
  <c r="F19" i="10"/>
  <c r="G19" i="10" s="1"/>
  <c r="G12" i="10"/>
  <c r="I10" i="11" a="1"/>
  <c r="I10" i="11" s="1"/>
  <c r="H10" i="11" a="1"/>
  <c r="H10" i="11" s="1"/>
  <c r="I23" i="12" l="1" a="1"/>
  <c r="I23" i="12" s="1"/>
  <c r="J23" i="12" s="1" a="1"/>
  <c r="J23" i="12" s="1"/>
  <c r="F10" i="12"/>
  <c r="G10" i="12" s="1"/>
  <c r="F126" i="12"/>
  <c r="F114" i="12"/>
  <c r="F122" i="12"/>
  <c r="F123" i="12"/>
  <c r="F116" i="12"/>
  <c r="F112" i="12"/>
  <c r="F131" i="12"/>
  <c r="F134" i="12"/>
  <c r="F127" i="12"/>
  <c r="F135" i="12"/>
  <c r="F117" i="12"/>
  <c r="F133" i="12"/>
  <c r="F128" i="12"/>
  <c r="F137" i="12"/>
  <c r="F129" i="12"/>
  <c r="F130" i="12"/>
  <c r="F113" i="12"/>
  <c r="F111" i="12"/>
  <c r="F118" i="12"/>
  <c r="F119" i="12"/>
  <c r="F125" i="12"/>
  <c r="F115" i="12"/>
  <c r="F120" i="12"/>
  <c r="F121" i="12"/>
  <c r="F124" i="12"/>
  <c r="F132" i="12"/>
  <c r="F136" i="12"/>
  <c r="F106" i="12"/>
  <c r="F102" i="12"/>
  <c r="F109" i="12"/>
  <c r="F101" i="12"/>
  <c r="F97" i="12"/>
  <c r="F99" i="12"/>
  <c r="F94" i="12"/>
  <c r="F95" i="12"/>
  <c r="F96" i="12"/>
  <c r="F110" i="12"/>
  <c r="F107" i="12"/>
  <c r="F108" i="12"/>
  <c r="F98" i="12"/>
  <c r="F93" i="12"/>
  <c r="F103" i="12"/>
  <c r="F104" i="12"/>
  <c r="F92" i="12"/>
  <c r="F100" i="12"/>
  <c r="F105" i="12"/>
  <c r="F78" i="12"/>
  <c r="F72" i="12"/>
  <c r="F79" i="12"/>
  <c r="F90" i="12"/>
  <c r="F77" i="12"/>
  <c r="F74" i="12"/>
  <c r="F89" i="12"/>
  <c r="F76" i="12"/>
  <c r="F70" i="12"/>
  <c r="F87" i="12"/>
  <c r="F83" i="12"/>
  <c r="F71" i="12"/>
  <c r="F82" i="12"/>
  <c r="F75" i="12"/>
  <c r="F88" i="12"/>
  <c r="F84" i="12"/>
  <c r="F91" i="12"/>
  <c r="F81" i="12"/>
  <c r="F86" i="12"/>
  <c r="F80" i="12"/>
  <c r="F85" i="12"/>
  <c r="F73" i="12"/>
  <c r="F11" i="12"/>
  <c r="F25" i="12"/>
  <c r="F29" i="12"/>
  <c r="F41" i="12"/>
  <c r="F61" i="12"/>
  <c r="F20" i="12"/>
  <c r="F68" i="12"/>
  <c r="F65" i="12"/>
  <c r="F19" i="12"/>
  <c r="F36" i="12"/>
  <c r="F46" i="12"/>
  <c r="F63" i="12"/>
  <c r="F38" i="12"/>
  <c r="F31" i="12"/>
  <c r="F43" i="12"/>
  <c r="F52" i="12"/>
  <c r="F34" i="12"/>
  <c r="F50" i="12"/>
  <c r="F64" i="12"/>
  <c r="F33" i="12"/>
  <c r="F13" i="12"/>
  <c r="F69" i="12"/>
  <c r="F58" i="12"/>
  <c r="F35" i="12"/>
  <c r="F27" i="12"/>
  <c r="F15" i="12"/>
  <c r="F57" i="12"/>
  <c r="F42" i="12"/>
  <c r="F62" i="12"/>
  <c r="F47" i="12"/>
  <c r="F45" i="12"/>
  <c r="F30" i="12"/>
  <c r="F44" i="12"/>
  <c r="F60" i="12"/>
  <c r="F12" i="12"/>
  <c r="F32" i="12"/>
  <c r="F51" i="12"/>
  <c r="F40" i="12"/>
  <c r="F49" i="12"/>
  <c r="F53" i="12"/>
  <c r="F48" i="12"/>
  <c r="F14" i="12"/>
  <c r="F24" i="12"/>
  <c r="F67" i="12"/>
  <c r="F18" i="12"/>
  <c r="F17" i="12"/>
  <c r="F59" i="12"/>
  <c r="F23" i="12"/>
  <c r="F21" i="12"/>
  <c r="F28" i="12"/>
  <c r="F54" i="12"/>
  <c r="F26" i="12"/>
  <c r="F39" i="12"/>
  <c r="F22" i="12"/>
  <c r="F16" i="12"/>
  <c r="F37" i="12"/>
  <c r="F66" i="12"/>
  <c r="F56" i="12"/>
  <c r="F55" i="12"/>
  <c r="G49" i="10"/>
  <c r="G31" i="10"/>
  <c r="G33" i="10"/>
  <c r="G34" i="10" s="1"/>
  <c r="G51" i="10"/>
  <c r="G17" i="10"/>
  <c r="G18" i="10" s="1"/>
  <c r="G42" i="10"/>
  <c r="G56" i="10"/>
  <c r="G58" i="10"/>
  <c r="G59" i="10" s="1"/>
  <c r="G23" i="10"/>
  <c r="G66" i="10"/>
  <c r="G29" i="10"/>
  <c r="G27" i="10"/>
  <c r="G47" i="10"/>
  <c r="G64" i="10"/>
  <c r="L10" i="11"/>
  <c r="K10" i="11"/>
  <c r="G10" i="11" a="1"/>
  <c r="G10" i="11" s="1"/>
  <c r="J10" i="11" s="1"/>
  <c r="M10" i="11" s="1"/>
  <c r="J18" i="12" l="1"/>
  <c r="G11" i="12"/>
  <c r="G12" i="12" s="1"/>
  <c r="G13" i="12" s="1"/>
  <c r="G14" i="12" s="1"/>
  <c r="G15" i="12" s="1"/>
  <c r="G16" i="12" s="1"/>
  <c r="G17" i="12" s="1"/>
  <c r="G18" i="12" s="1"/>
  <c r="G19" i="12" s="1"/>
  <c r="G20" i="12" s="1"/>
  <c r="G21" i="12" s="1"/>
  <c r="G22" i="12" s="1"/>
  <c r="G23" i="12" s="1"/>
  <c r="G24" i="12" s="1"/>
  <c r="G25" i="12" s="1"/>
  <c r="G26" i="12" s="1"/>
  <c r="G27" i="12" s="1"/>
  <c r="G28" i="12" s="1"/>
  <c r="G29" i="12" s="1"/>
  <c r="G30" i="12" s="1"/>
  <c r="G31" i="12" s="1"/>
  <c r="G32" i="12" s="1"/>
  <c r="G33" i="12" s="1"/>
  <c r="G34" i="12" s="1"/>
  <c r="G35" i="12" s="1"/>
  <c r="G36" i="12" s="1"/>
  <c r="G37" i="12" s="1"/>
  <c r="G38" i="12" s="1"/>
  <c r="G39" i="12" s="1"/>
  <c r="G40" i="12" s="1"/>
  <c r="G41" i="12" s="1"/>
  <c r="G42" i="12" s="1"/>
  <c r="G43" i="12" s="1"/>
  <c r="G44" i="12" s="1"/>
  <c r="G45" i="12" s="1"/>
  <c r="G46" i="12" s="1"/>
  <c r="G47" i="12" s="1"/>
  <c r="G48" i="12" s="1"/>
  <c r="G49" i="12" s="1"/>
  <c r="G50" i="12" s="1"/>
  <c r="G51" i="12" s="1"/>
  <c r="G52" i="12" s="1"/>
  <c r="G53" i="12" s="1"/>
  <c r="G54" i="12" s="1"/>
  <c r="G55" i="12" s="1"/>
  <c r="G56" i="12" s="1"/>
  <c r="G57" i="12" s="1"/>
  <c r="G58" i="12" s="1"/>
  <c r="G59" i="12" s="1"/>
  <c r="G60" i="12" s="1"/>
  <c r="G61" i="12" s="1"/>
  <c r="G62" i="12" s="1"/>
  <c r="G63" i="12" s="1"/>
  <c r="G64" i="12" s="1"/>
  <c r="G65" i="12" s="1"/>
  <c r="G66" i="12" s="1"/>
  <c r="G67" i="12" s="1"/>
  <c r="G68" i="12" s="1"/>
  <c r="G69" i="12" s="1"/>
  <c r="G70" i="12" s="1"/>
  <c r="G71" i="12" s="1"/>
  <c r="G72" i="12" s="1"/>
  <c r="G73" i="12" s="1"/>
  <c r="G74" i="12" s="1"/>
  <c r="G75" i="12" s="1"/>
  <c r="G76" i="12" s="1"/>
  <c r="G77" i="12" s="1"/>
  <c r="G78" i="12" s="1"/>
  <c r="G79" i="12" s="1"/>
  <c r="G80" i="12" s="1"/>
  <c r="G81" i="12" s="1"/>
  <c r="G82" i="12" s="1"/>
  <c r="G83" i="12" s="1"/>
  <c r="G84" i="12" s="1"/>
  <c r="G85" i="12" s="1"/>
  <c r="G86" i="12" s="1"/>
  <c r="G87" i="12" s="1"/>
  <c r="G88" i="12" s="1"/>
  <c r="G89" i="12" s="1"/>
  <c r="G90" i="12" s="1"/>
  <c r="G91" i="12" s="1"/>
  <c r="G92" i="12" s="1"/>
  <c r="G93" i="12" s="1"/>
  <c r="G94" i="12" s="1"/>
  <c r="G95" i="12" s="1"/>
  <c r="G96" i="12" s="1"/>
  <c r="G97" i="12" s="1"/>
  <c r="G98" i="12" s="1"/>
  <c r="G99" i="12" s="1"/>
  <c r="G100" i="12" s="1"/>
  <c r="G101" i="12" s="1"/>
  <c r="G102" i="12" s="1"/>
  <c r="G103" i="12" s="1"/>
  <c r="G104" i="12" s="1"/>
  <c r="G105" i="12" s="1"/>
  <c r="G106" i="12" s="1"/>
  <c r="G107" i="12" s="1"/>
  <c r="G108" i="12" s="1"/>
  <c r="G109" i="12" s="1"/>
  <c r="G110" i="12" s="1"/>
  <c r="G111" i="12" s="1"/>
  <c r="G112" i="12" s="1"/>
  <c r="G113" i="12" s="1"/>
  <c r="G114" i="12" s="1"/>
  <c r="G115" i="12" s="1"/>
  <c r="G116" i="12" s="1"/>
  <c r="G117" i="12" s="1"/>
  <c r="G118" i="12" s="1"/>
  <c r="G119" i="12" s="1"/>
  <c r="G120" i="12" s="1"/>
  <c r="G121" i="12" s="1"/>
  <c r="G122" i="12" s="1"/>
  <c r="G123" i="12" s="1"/>
  <c r="G124" i="12" s="1"/>
  <c r="G125" i="12" s="1"/>
  <c r="G126" i="12" s="1"/>
  <c r="G127" i="12" s="1"/>
  <c r="G128" i="12" s="1"/>
  <c r="G129" i="12" s="1"/>
  <c r="G130" i="12" s="1"/>
  <c r="G131" i="12" s="1"/>
  <c r="G132" i="12" s="1"/>
  <c r="G133" i="12" s="1"/>
  <c r="G134" i="12" s="1"/>
  <c r="G135" i="12" s="1"/>
  <c r="G136" i="12" s="1"/>
  <c r="G137" i="12" s="1"/>
  <c r="K67" i="11"/>
  <c r="K59" i="11"/>
  <c r="K51" i="11"/>
  <c r="K43" i="11"/>
  <c r="K35" i="11"/>
  <c r="K31" i="11"/>
  <c r="K23" i="11"/>
  <c r="K11" i="11"/>
  <c r="J63" i="11"/>
  <c r="J55" i="11"/>
  <c r="J43" i="11"/>
  <c r="J35" i="11"/>
  <c r="J27" i="11"/>
  <c r="J19" i="11"/>
  <c r="J11" i="11"/>
  <c r="L66" i="11"/>
  <c r="L62" i="11"/>
  <c r="L54" i="11"/>
  <c r="L50" i="11"/>
  <c r="L46" i="11"/>
  <c r="L42" i="11"/>
  <c r="L38" i="11"/>
  <c r="L30" i="11"/>
  <c r="L26" i="11"/>
  <c r="L22" i="11"/>
  <c r="L18" i="11"/>
  <c r="L14" i="11"/>
  <c r="K66" i="11"/>
  <c r="K62" i="11"/>
  <c r="K58" i="11"/>
  <c r="K54" i="11"/>
  <c r="K50" i="11"/>
  <c r="K46" i="11"/>
  <c r="K42" i="11"/>
  <c r="K38" i="11"/>
  <c r="K34" i="11"/>
  <c r="K30" i="11"/>
  <c r="K26" i="11"/>
  <c r="K22" i="11"/>
  <c r="K18" i="11"/>
  <c r="K14" i="11"/>
  <c r="J51" i="11"/>
  <c r="J66" i="11"/>
  <c r="J62" i="11"/>
  <c r="J58" i="11"/>
  <c r="J54" i="11"/>
  <c r="J50" i="11"/>
  <c r="J46" i="11"/>
  <c r="J42" i="11"/>
  <c r="J38" i="11"/>
  <c r="J34" i="11"/>
  <c r="J30" i="11"/>
  <c r="J26" i="11"/>
  <c r="J22" i="11"/>
  <c r="J18" i="11"/>
  <c r="J14" i="11"/>
  <c r="L69" i="11"/>
  <c r="L65" i="11"/>
  <c r="L61" i="11"/>
  <c r="L57" i="11"/>
  <c r="L53" i="11"/>
  <c r="L49" i="11"/>
  <c r="L45" i="11"/>
  <c r="L41" i="11"/>
  <c r="L37" i="11"/>
  <c r="L33" i="11"/>
  <c r="L29" i="11"/>
  <c r="L25" i="11"/>
  <c r="L21" i="11"/>
  <c r="L17" i="11"/>
  <c r="L13" i="11"/>
  <c r="K69" i="11"/>
  <c r="K65" i="11"/>
  <c r="K61" i="11"/>
  <c r="K57" i="11"/>
  <c r="K53" i="11"/>
  <c r="K49" i="11"/>
  <c r="K45" i="11"/>
  <c r="K41" i="11"/>
  <c r="K37" i="11"/>
  <c r="K33" i="11"/>
  <c r="K29" i="11"/>
  <c r="K25" i="11"/>
  <c r="K21" i="11"/>
  <c r="K17" i="11"/>
  <c r="K13" i="11"/>
  <c r="J69" i="11"/>
  <c r="J65" i="11"/>
  <c r="J61" i="11"/>
  <c r="J57" i="11"/>
  <c r="J53" i="11"/>
  <c r="J49" i="11"/>
  <c r="J45" i="11"/>
  <c r="J41" i="11"/>
  <c r="J37" i="11"/>
  <c r="J33" i="11"/>
  <c r="J29" i="11"/>
  <c r="J25" i="11"/>
  <c r="J21" i="11"/>
  <c r="J17" i="11"/>
  <c r="J13" i="11"/>
  <c r="L68" i="11"/>
  <c r="L64" i="11"/>
  <c r="L60" i="11"/>
  <c r="L56" i="11"/>
  <c r="L52" i="11"/>
  <c r="L48" i="11"/>
  <c r="L44" i="11"/>
  <c r="L40" i="11"/>
  <c r="L36" i="11"/>
  <c r="L32" i="11"/>
  <c r="L28" i="11"/>
  <c r="L24" i="11"/>
  <c r="L20" i="11"/>
  <c r="L16" i="11"/>
  <c r="L12" i="11"/>
  <c r="K68" i="11"/>
  <c r="K64" i="11"/>
  <c r="K60" i="11"/>
  <c r="K56" i="11"/>
  <c r="K52" i="11"/>
  <c r="K48" i="11"/>
  <c r="K44" i="11"/>
  <c r="K40" i="11"/>
  <c r="K36" i="11"/>
  <c r="K32" i="11"/>
  <c r="K28" i="11"/>
  <c r="K24" i="11"/>
  <c r="K20" i="11"/>
  <c r="K16" i="11"/>
  <c r="K12" i="11"/>
  <c r="J68" i="11"/>
  <c r="J52" i="11"/>
  <c r="J44" i="11"/>
  <c r="J32" i="11"/>
  <c r="J16" i="11"/>
  <c r="J60" i="11"/>
  <c r="J40" i="11"/>
  <c r="J24" i="11"/>
  <c r="J12" i="11"/>
  <c r="J64" i="11"/>
  <c r="J56" i="11"/>
  <c r="J48" i="11"/>
  <c r="J36" i="11"/>
  <c r="J28" i="11"/>
  <c r="J20" i="11"/>
  <c r="L67" i="11"/>
  <c r="L63" i="11"/>
  <c r="L59" i="11"/>
  <c r="L55" i="11"/>
  <c r="L51" i="11"/>
  <c r="L47" i="11"/>
  <c r="L43" i="11"/>
  <c r="L39" i="11"/>
  <c r="L35" i="11"/>
  <c r="L31" i="11"/>
  <c r="L27" i="11"/>
  <c r="L23" i="11"/>
  <c r="L19" i="11"/>
  <c r="L15" i="11"/>
  <c r="L11" i="11"/>
  <c r="K63" i="11"/>
  <c r="K55" i="11"/>
  <c r="K47" i="11"/>
  <c r="K39" i="11"/>
  <c r="K27" i="11"/>
  <c r="K19" i="11"/>
  <c r="K15" i="11"/>
  <c r="J67" i="11"/>
  <c r="J59" i="11"/>
  <c r="J47" i="11"/>
  <c r="J39" i="11"/>
  <c r="J31" i="11"/>
  <c r="J23" i="11"/>
  <c r="J15" i="11"/>
  <c r="L58" i="11"/>
  <c r="L34" i="11"/>
  <c r="S13" i="11" l="1"/>
  <c r="T13" i="11"/>
  <c r="S14" i="11"/>
  <c r="T14" i="11"/>
  <c r="S15" i="11"/>
  <c r="U22" i="11" s="1"/>
  <c r="T15" i="11"/>
  <c r="V22" i="11" s="1"/>
  <c r="S16" i="11"/>
  <c r="T16" i="11"/>
  <c r="S17" i="11"/>
  <c r="T17" i="11"/>
  <c r="S18" i="11"/>
  <c r="T18" i="11"/>
  <c r="S19" i="11"/>
  <c r="T19" i="11"/>
  <c r="O68" i="11"/>
  <c r="N48" i="11"/>
  <c r="N49" i="11" s="1"/>
  <c r="N24" i="11"/>
  <c r="O24" i="11"/>
  <c r="N38" i="11"/>
  <c r="O38" i="11"/>
  <c r="N30" i="11"/>
  <c r="O55" i="11"/>
  <c r="O56" i="11" s="1"/>
  <c r="O36" i="11"/>
  <c r="N65" i="11"/>
  <c r="O65" i="11"/>
  <c r="N69" i="11"/>
  <c r="O69" i="11"/>
  <c r="N52" i="11"/>
  <c r="O52" i="11"/>
  <c r="O54" i="11"/>
  <c r="N44" i="11"/>
  <c r="O26" i="11"/>
  <c r="O27" i="11" s="1"/>
  <c r="N25" i="11"/>
  <c r="N29" i="11"/>
  <c r="N16" i="11"/>
  <c r="N32" i="11"/>
  <c r="O32" i="11"/>
  <c r="O33" i="11" s="1"/>
  <c r="O34" i="11" s="1"/>
  <c r="O46" i="11"/>
  <c r="N40" i="11"/>
  <c r="N22" i="11"/>
  <c r="O15" i="11"/>
  <c r="N28" i="11"/>
  <c r="N37" i="11"/>
  <c r="O37" i="11"/>
  <c r="N60" i="11"/>
  <c r="N61" i="11" s="1"/>
  <c r="N62" i="11" s="1"/>
  <c r="N63" i="11" s="1"/>
  <c r="N64" i="11" s="1"/>
  <c r="N14" i="11"/>
  <c r="O14" i="11"/>
  <c r="N43" i="11"/>
  <c r="N67" i="11"/>
  <c r="N53" i="11"/>
  <c r="N54" i="11" s="1"/>
  <c r="N55" i="11" s="1"/>
  <c r="N56" i="11" s="1"/>
  <c r="N19" i="11"/>
  <c r="O19" i="11"/>
  <c r="N20" i="11"/>
  <c r="N21" i="11" s="1"/>
  <c r="N10" i="11"/>
  <c r="O10" i="11"/>
  <c r="O41" i="11"/>
  <c r="N41" i="11" l="1"/>
  <c r="N42" i="11" s="1"/>
  <c r="N45" i="11"/>
  <c r="N46" i="11" s="1"/>
  <c r="N35" i="11"/>
  <c r="O11" i="11"/>
  <c r="O16" i="11"/>
  <c r="O39" i="11"/>
  <c r="O44" i="11"/>
  <c r="O21" i="11" s="1"/>
  <c r="O35" i="11"/>
  <c r="U24" i="11"/>
  <c r="S32" i="11"/>
  <c r="O57" i="11"/>
  <c r="V24" i="11"/>
  <c r="T32" i="11"/>
  <c r="N33" i="11"/>
  <c r="O42" i="11"/>
  <c r="O60" i="11"/>
  <c r="O61" i="11" s="1"/>
  <c r="O62" i="11" s="1"/>
  <c r="Q28" i="11"/>
  <c r="V23" i="11"/>
  <c r="U23" i="11"/>
  <c r="Q29" i="11"/>
  <c r="T33" i="11"/>
  <c r="S33" i="11"/>
  <c r="O66" i="11"/>
  <c r="N66" i="11"/>
  <c r="N13" i="11" l="1"/>
  <c r="N23" i="11" s="1"/>
  <c r="N47" i="11"/>
  <c r="N31" i="11"/>
  <c r="N34" i="11"/>
  <c r="O22" i="11"/>
  <c r="N39" i="11"/>
  <c r="N11" i="11"/>
  <c r="N12" i="11" s="1"/>
  <c r="O63" i="11"/>
  <c r="O53" i="11"/>
  <c r="O12" i="11"/>
  <c r="O17" i="11" s="1"/>
  <c r="O18" i="11" s="1"/>
  <c r="O67" i="11" l="1"/>
  <c r="O64" i="11"/>
  <c r="O40" i="11"/>
  <c r="O23" i="11"/>
  <c r="O13" i="11"/>
  <c r="O47" i="11" s="1"/>
  <c r="O48" i="11" s="1"/>
  <c r="O49" i="11" s="1"/>
  <c r="O25" i="11"/>
  <c r="O20" i="11"/>
  <c r="O50" i="11"/>
  <c r="O43" i="11"/>
  <c r="O58" i="11" s="1"/>
  <c r="O59" i="11" s="1"/>
  <c r="N17" i="11"/>
  <c r="N18" i="11" s="1"/>
  <c r="N68" i="11"/>
  <c r="N26" i="11" s="1"/>
  <c r="N27" i="11" s="1"/>
  <c r="M50" i="11"/>
  <c r="M62" i="11"/>
  <c r="M20" i="11"/>
  <c r="M14" i="11"/>
  <c r="M11" i="11"/>
  <c r="M12" i="11" s="1"/>
  <c r="M61" i="11"/>
  <c r="M60" i="11"/>
  <c r="M37" i="11"/>
  <c r="M15" i="11"/>
  <c r="M22" i="11"/>
  <c r="M23" i="11" s="1"/>
  <c r="M40" i="11"/>
  <c r="M16" i="11"/>
  <c r="M45" i="11"/>
  <c r="M26" i="11"/>
  <c r="M54" i="11"/>
  <c r="M52" i="11"/>
  <c r="M69" i="11"/>
  <c r="R19" i="11"/>
  <c r="M55" i="11"/>
  <c r="M56" i="11" s="1"/>
  <c r="R18" i="11"/>
  <c r="R17" i="11"/>
  <c r="M38" i="11"/>
  <c r="R16" i="11"/>
  <c r="M24" i="11"/>
  <c r="R15" i="11"/>
  <c r="T22" i="11" s="1"/>
  <c r="M48" i="11"/>
  <c r="R14" i="11"/>
  <c r="R13" i="11"/>
  <c r="M39" i="11"/>
  <c r="B6" i="11"/>
  <c r="A1" i="11"/>
  <c r="M57" i="11" l="1"/>
  <c r="M27" i="11"/>
  <c r="M28" i="11" s="1"/>
  <c r="M49" i="11"/>
  <c r="O28" i="11"/>
  <c r="O51" i="11"/>
  <c r="M63" i="11"/>
  <c r="M64" i="11" s="1"/>
  <c r="N57" i="11"/>
  <c r="N50" i="11"/>
  <c r="N51" i="11" s="1"/>
  <c r="N15" i="11"/>
  <c r="M35" i="11"/>
  <c r="M17" i="11" s="1"/>
  <c r="M18" i="11" s="1"/>
  <c r="R33" i="11"/>
  <c r="T24" i="11"/>
  <c r="M65" i="11"/>
  <c r="M30" i="11"/>
  <c r="M31" i="11" s="1"/>
  <c r="M21" i="11"/>
  <c r="M41" i="11"/>
  <c r="M32" i="11"/>
  <c r="M33" i="11" s="1"/>
  <c r="M34" i="11" s="1"/>
  <c r="M51" i="11"/>
  <c r="M53" i="11"/>
  <c r="M19" i="11" s="1"/>
  <c r="M13" i="11"/>
  <c r="Q27" i="11"/>
  <c r="T23" i="11"/>
  <c r="R32" i="11"/>
  <c r="B6" i="10"/>
  <c r="A1" i="10"/>
  <c r="J14" i="10"/>
  <c r="J15" i="10"/>
  <c r="L22" i="10" s="1"/>
  <c r="J16" i="10"/>
  <c r="J17" i="10"/>
  <c r="J18" i="10"/>
  <c r="J19" i="10"/>
  <c r="J13" i="10"/>
  <c r="N36" i="11" l="1"/>
  <c r="N58" i="11"/>
  <c r="N59" i="11" s="1"/>
  <c r="O29" i="11"/>
  <c r="O45" i="11" s="1"/>
  <c r="M42" i="11"/>
  <c r="M43" i="11" s="1"/>
  <c r="M58" i="11" s="1"/>
  <c r="M59" i="11" s="1"/>
  <c r="M66" i="11"/>
  <c r="M67" i="11" s="1"/>
  <c r="M36" i="11"/>
  <c r="M29" i="11"/>
  <c r="I27" i="10"/>
  <c r="J31" i="10"/>
  <c r="J30" i="10"/>
  <c r="L24" i="10"/>
  <c r="L23" i="10"/>
  <c r="O30" i="11" l="1"/>
  <c r="O31" i="11" s="1"/>
  <c r="M44" i="11"/>
  <c r="M46" i="11"/>
  <c r="M47" i="11" s="1"/>
  <c r="M25" i="11" s="1"/>
  <c r="M68" i="11"/>
  <c r="A1" i="5" l="1"/>
  <c r="I37" i="4" l="1"/>
  <c r="A1" i="2" l="1"/>
  <c r="E17" i="5"/>
  <c r="I17" i="5"/>
  <c r="G4" i="12" s="1"/>
  <c r="B6" i="5"/>
  <c r="A1" i="4"/>
  <c r="K74" i="4"/>
  <c r="K72" i="4"/>
  <c r="K70" i="4"/>
  <c r="I70" i="4"/>
  <c r="K68" i="4"/>
  <c r="I68" i="4"/>
  <c r="K66" i="4"/>
  <c r="K64" i="4"/>
  <c r="K62" i="4"/>
  <c r="K60" i="4"/>
  <c r="K53" i="4"/>
  <c r="K51" i="4"/>
  <c r="K49" i="4"/>
  <c r="I47" i="4"/>
  <c r="K45" i="4"/>
  <c r="K43" i="4"/>
  <c r="K41" i="4"/>
  <c r="I41" i="4"/>
  <c r="I49" i="4" s="1"/>
  <c r="K37" i="4"/>
  <c r="K35" i="4"/>
  <c r="K33" i="4"/>
  <c r="K31" i="4"/>
  <c r="K29" i="4"/>
  <c r="I29" i="4"/>
  <c r="K27" i="4"/>
  <c r="I20" i="4"/>
  <c r="I18" i="4"/>
  <c r="I16" i="4"/>
  <c r="I15" i="4"/>
  <c r="I14" i="4"/>
  <c r="I13" i="4"/>
  <c r="I11" i="4"/>
  <c r="I10" i="4"/>
  <c r="B6" i="4"/>
  <c r="B23" i="4" s="1"/>
  <c r="C5" i="1"/>
  <c r="G11" i="2"/>
  <c r="A2" i="12" s="1"/>
  <c r="B6" i="2"/>
  <c r="B15" i="2" s="1"/>
  <c r="F4" i="11" l="1"/>
  <c r="G4" i="10"/>
  <c r="A2" i="10"/>
  <c r="A2" i="11"/>
  <c r="F4" i="5"/>
  <c r="I4" i="2"/>
  <c r="G4" i="3"/>
  <c r="I4" i="4"/>
  <c r="A2" i="2"/>
  <c r="A2" i="5"/>
  <c r="B56" i="4"/>
  <c r="A2" i="4"/>
  <c r="A2" i="3"/>
  <c r="C6" i="1"/>
  <c r="K23" i="12" a="1"/>
  <c r="K23" i="12" s="1"/>
  <c r="J19" i="12" s="1"/>
  <c r="L23" i="12" a="1"/>
  <c r="L23" i="1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<sst xmlns="http://schemas.openxmlformats.org/spreadsheetml/2006/main" count="174" uniqueCount="115">
  <si>
    <t>Model Parameters</t>
  </si>
  <si>
    <t>Navigator</t>
  </si>
  <si>
    <t>Error Checks:</t>
  </si>
  <si>
    <t>General</t>
  </si>
  <si>
    <t>Key Inputs</t>
  </si>
  <si>
    <t>Model Name</t>
  </si>
  <si>
    <t>Client Name</t>
  </si>
  <si>
    <t>General Range Names</t>
  </si>
  <si>
    <t>Technical Assumptions</t>
  </si>
  <si>
    <t>Days in Year</t>
  </si>
  <si>
    <t>Months in Month</t>
  </si>
  <si>
    <t>Months in Quarter</t>
  </si>
  <si>
    <t>Months in Half Yr</t>
  </si>
  <si>
    <t>Months in Year</t>
  </si>
  <si>
    <t>Quarters in Year</t>
  </si>
  <si>
    <t>Rounding Accuracy</t>
  </si>
  <si>
    <t>Very Large Number</t>
  </si>
  <si>
    <t>Very Small Number</t>
  </si>
  <si>
    <t>Thousand</t>
  </si>
  <si>
    <t>General Cover Notes:</t>
  </si>
  <si>
    <t>Any queries, please e-mail:</t>
  </si>
  <si>
    <t>Website:</t>
  </si>
  <si>
    <t>www.sumproduct.com</t>
  </si>
  <si>
    <t>Table of Contents</t>
  </si>
  <si>
    <t>Cover</t>
  </si>
  <si>
    <t>Style Guide</t>
  </si>
  <si>
    <t>Formatting of Headers / Dividers</t>
  </si>
  <si>
    <t>Description</t>
  </si>
  <si>
    <t>Display</t>
  </si>
  <si>
    <t>Style Name</t>
  </si>
  <si>
    <t>Sheet Title</t>
  </si>
  <si>
    <t>Header 1</t>
  </si>
  <si>
    <t>Header 2</t>
  </si>
  <si>
    <t>Header 3</t>
  </si>
  <si>
    <t>Header 4</t>
  </si>
  <si>
    <t>Notes</t>
  </si>
  <si>
    <t>Table Heading</t>
  </si>
  <si>
    <t>Individual Cell Styles</t>
  </si>
  <si>
    <t>Assumption</t>
  </si>
  <si>
    <t>Constraint</t>
  </si>
  <si>
    <t>Empty</t>
  </si>
  <si>
    <t>Error Check</t>
  </si>
  <si>
    <t>Hyperlink</t>
  </si>
  <si>
    <t>Internal Reference</t>
  </si>
  <si>
    <t>Line Calculation</t>
  </si>
  <si>
    <t>Line Calc</t>
  </si>
  <si>
    <t>Line Total</t>
  </si>
  <si>
    <t>Parameter</t>
  </si>
  <si>
    <t>Range Name Description</t>
  </si>
  <si>
    <t>Not_Named</t>
  </si>
  <si>
    <t>Row Reference</t>
  </si>
  <si>
    <t>Row Ref</t>
  </si>
  <si>
    <t>Row Summary</t>
  </si>
  <si>
    <t>Units</t>
  </si>
  <si>
    <t>WIP</t>
  </si>
  <si>
    <t>Numerical Styles</t>
  </si>
  <si>
    <t>Comma</t>
  </si>
  <si>
    <t>Comma [0]</t>
  </si>
  <si>
    <t>Currency</t>
  </si>
  <si>
    <t>Currency [0]</t>
  </si>
  <si>
    <t>Date</t>
  </si>
  <si>
    <t>Date Heading</t>
  </si>
  <si>
    <t>Numbers 0</t>
  </si>
  <si>
    <t>Percent</t>
  </si>
  <si>
    <t>Error Checks</t>
  </si>
  <si>
    <t>Summary of Errors</t>
  </si>
  <si>
    <t>Assumptions</t>
  </si>
  <si>
    <t>Example</t>
  </si>
  <si>
    <t>A$</t>
  </si>
  <si>
    <t>SumProduct Pty Limited</t>
  </si>
  <si>
    <t>Primary Developer:  Sam Ngo</t>
  </si>
  <si>
    <t>Sam.Ngo@sumproduct.com</t>
  </si>
  <si>
    <t>Cloud 1</t>
  </si>
  <si>
    <t>Percentile</t>
  </si>
  <si>
    <t>Base 25th</t>
  </si>
  <si>
    <t>Bottom 25-50</t>
  </si>
  <si>
    <t>Top 50-75</t>
  </si>
  <si>
    <t>y</t>
  </si>
  <si>
    <t>x</t>
  </si>
  <si>
    <t>Negative</t>
  </si>
  <si>
    <t>Positive</t>
  </si>
  <si>
    <t>Cloud 1: 1st position</t>
  </si>
  <si>
    <t>Cloud 1: X-position</t>
  </si>
  <si>
    <t>Location</t>
  </si>
  <si>
    <t>Length</t>
  </si>
  <si>
    <t>Percentile: Cloud 1</t>
  </si>
  <si>
    <t>Stacked: Cloud 1</t>
  </si>
  <si>
    <t>Error Bar Length</t>
  </si>
  <si>
    <t>Vertical Raincloud Chart</t>
  </si>
  <si>
    <t>Cloud 2</t>
  </si>
  <si>
    <t>Cloud 3</t>
  </si>
  <si>
    <t>Cloud 2: 1st position</t>
  </si>
  <si>
    <t>Cloud 3: 1st position</t>
  </si>
  <si>
    <t>Cloud 2: X-position</t>
  </si>
  <si>
    <t>Cloud 3: X-position</t>
  </si>
  <si>
    <t>Percentile: Cloud 2</t>
  </si>
  <si>
    <t>Percentile: Cloud 3</t>
  </si>
  <si>
    <t>Stacked: Cloud 2</t>
  </si>
  <si>
    <t>Stacked: Cloud 3</t>
  </si>
  <si>
    <t>Cloud 1 Sorted</t>
  </si>
  <si>
    <t>Cloud 2 Sorted</t>
  </si>
  <si>
    <t>Cloud 3 Sorted</t>
  </si>
  <si>
    <t>Stacked Bar</t>
  </si>
  <si>
    <t>Horizontal Raincloud - 1 Cloud</t>
  </si>
  <si>
    <t>Horizontal Raincloud - 3 Clouds</t>
  </si>
  <si>
    <t>Horizontal Raincloud Chart</t>
  </si>
  <si>
    <t>Frequency</t>
  </si>
  <si>
    <t>Number of Bars</t>
  </si>
  <si>
    <t>Upper Bin</t>
  </si>
  <si>
    <t>Lower Bin</t>
  </si>
  <si>
    <t>Scale Down factor</t>
  </si>
  <si>
    <t>Cloud Base</t>
  </si>
  <si>
    <t>Max</t>
  </si>
  <si>
    <t>Min</t>
  </si>
  <si>
    <t>Middle 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</si>
</sst>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9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164" formatCode="&quot;ý&quot;;&quot;ý&quot;;&quot;þ&quot;"/>
    <numFmt numFmtId="165" formatCode="#,##0&quot;.&quot;"/>
    <numFmt numFmtId="166" formatCode="0.E+00"/>
    <numFmt numFmtId="167" formatCode=";;;"/>
    <numFmt numFmtId="168" formatCode="_(#,##0_);[Red]\(#,##0\);_(\-_);"/>
    <numFmt numFmtId="169" formatCode="_(&quot;$&quot;#,##0.0_);\(&quot;$&quot;#,##0.0\);_(&quot;-&quot;_)"/>
    <numFmt numFmtId="170" formatCode="_(#,##0.0_);\(#,##0.0\);_(&quot;-&quot;_)"/>
    <numFmt numFmtId="171" formatCode="&quot;Row &quot;###0"/>
    <numFmt numFmtId="172" formatCode="#,##0."/>
    <numFmt numFmtId="173" formatCode="_(#,##0_);\(#,##0\);_(\-_)"/>
    <numFmt numFmtId="174" formatCode="_(#,##0.00_);\(#,##0.00\);_(\-_._0_0_)"/>
    <numFmt numFmtId="175" formatCode="&quot;$&quot;* _(#,##0.00_);&quot;$&quot;* \(#,##0.00\);&quot;$&quot;* _(\-_._0_0_)"/>
    <numFmt numFmtId="176" formatCode="&quot;$&quot;* _(#,##0_);&quot;$&quot;* \(#,##0\);&quot;$&quot;* _(\-_)"/>
    <numFmt numFmtId="177" formatCode="[$-C09]dd\ mmm\ yy;@"/>
    <numFmt numFmtId="178" formatCode="mmm\ yy"/>
    <numFmt numFmtId="179" formatCode="[$-C09]d\ mmm\ yy;@"/>
  </numFmts>
  <fonts count="33" x14ac:knownFonts="1"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Wingdings"/>
      <charset val="2"/>
    </font>
    <font>
      <i/>
      <sz val="11"/>
      <color theme="0" tint="-0.34998626667073579"/>
      <name val="Calibri"/>
      <family val="2"/>
      <scheme val="minor"/>
    </font>
    <font>
      <b/>
      <u/>
      <sz val="8"/>
      <color indexed="56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i/>
      <sz val="11"/>
      <color theme="0" tint="-0.499984740745262"/>
      <name val="Calibri"/>
      <family val="2"/>
      <scheme val="minor"/>
    </font>
    <font>
      <sz val="8"/>
      <name val="Arial"/>
      <family val="2"/>
    </font>
    <font>
      <sz val="10"/>
      <color theme="1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b/>
      <sz val="16"/>
      <color theme="8" tint="-0.499984740745262"/>
      <name val="Arial"/>
      <family val="2"/>
    </font>
    <font>
      <sz val="14"/>
      <color theme="8" tint="-0.499984740745262"/>
      <name val="Arial"/>
      <family val="2"/>
    </font>
    <font>
      <b/>
      <sz val="12"/>
      <color theme="0"/>
      <name val="Arial"/>
      <family val="2"/>
    </font>
    <font>
      <b/>
      <sz val="13"/>
      <color theme="8" tint="-0.499984740745262"/>
      <name val="Arial"/>
      <family val="2"/>
    </font>
    <font>
      <b/>
      <sz val="11"/>
      <color theme="1"/>
      <name val="Arial"/>
      <family val="2"/>
    </font>
    <font>
      <b/>
      <sz val="11"/>
      <color theme="3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sz val="18"/>
      <color theme="3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8" tint="-0.499984740745262"/>
      <name val="Arial"/>
      <family val="2"/>
    </font>
    <font>
      <sz val="9"/>
      <color theme="0" tint="-0.499984740745262"/>
      <name val="Arial"/>
      <family val="2"/>
    </font>
    <font>
      <b/>
      <u/>
      <sz val="9"/>
      <color theme="1"/>
      <name val="Arial"/>
      <family val="2"/>
    </font>
    <font>
      <sz val="9"/>
      <name val="Arial"/>
      <family val="2"/>
    </font>
    <font>
      <i/>
      <sz val="9"/>
      <color theme="8" tint="-0.499984740745262"/>
      <name val="Arial"/>
      <family val="2"/>
    </font>
    <font>
      <sz val="9"/>
      <color theme="8" tint="0.39988402966399123"/>
      <name val="Arial"/>
      <family val="2"/>
    </font>
    <font>
      <sz val="9"/>
      <color rgb="FFFF0000"/>
      <name val="Arial"/>
      <family val="2"/>
    </font>
    <font>
      <i/>
      <sz val="8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gray125">
        <fgColor theme="8" tint="-0.499984740745262"/>
        <bgColor theme="8" tint="0.59996337778862885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2">
    <xf numFmtId="0" fontId="0" fillId="0" borderId="0"/>
    <xf numFmtId="174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4" fillId="0" borderId="0" applyNumberFormat="0" applyFill="0" applyBorder="0" applyProtection="0"/>
    <xf numFmtId="0" fontId="27" fillId="0" borderId="0" applyNumberFormat="0" applyFill="0" applyBorder="0">
      <alignment horizontal="left"/>
      <protection locked="0"/>
    </xf>
    <xf numFmtId="0" fontId="15" fillId="0" borderId="0" applyNumberFormat="0" applyFill="0" applyBorder="0" applyProtection="0"/>
    <xf numFmtId="0" fontId="16" fillId="3" borderId="1" applyNumberFormat="0" applyProtection="0"/>
    <xf numFmtId="0" fontId="17" fillId="0" borderId="0" applyNumberFormat="0" applyFill="0" applyAlignment="0" applyProtection="0"/>
    <xf numFmtId="0" fontId="18" fillId="0" borderId="0" applyNumberFormat="0" applyFill="0" applyAlignment="0" applyProtection="0"/>
    <xf numFmtId="0" fontId="26" fillId="0" borderId="3" applyNumberFormat="0" applyAlignment="0">
      <alignment horizontal="center"/>
    </xf>
    <xf numFmtId="0" fontId="25" fillId="4" borderId="4" applyNumberFormat="0" applyAlignment="0">
      <protection locked="0"/>
    </xf>
    <xf numFmtId="0" fontId="3" fillId="0" borderId="0" applyNumberFormat="0" applyFill="0" applyBorder="0"/>
    <xf numFmtId="179" fontId="23" fillId="0" borderId="0" applyFill="0" applyBorder="0" applyProtection="0">
      <alignment horizontal="center"/>
    </xf>
    <xf numFmtId="178" fontId="24" fillId="0" borderId="0" applyFill="0" applyBorder="0" applyProtection="0">
      <alignment horizontal="center"/>
    </xf>
    <xf numFmtId="167" fontId="1" fillId="5" borderId="4" applyAlignment="0"/>
    <xf numFmtId="164" fontId="2" fillId="2" borderId="2">
      <alignment horizontal="center"/>
      <protection locked="0"/>
    </xf>
    <xf numFmtId="0" fontId="4" fillId="0" borderId="0" applyFill="0" applyBorder="0">
      <alignment horizontal="left" vertical="center"/>
      <protection locked="0"/>
    </xf>
    <xf numFmtId="41" fontId="28" fillId="6" borderId="5" applyNumberFormat="0" applyAlignment="0"/>
    <xf numFmtId="41" fontId="1" fillId="0" borderId="6" applyNumberFormat="0" applyFont="0" applyFill="0" applyAlignment="0"/>
    <xf numFmtId="168" fontId="1" fillId="0" borderId="7" applyNumberFormat="0" applyFont="0" applyFill="0" applyAlignment="0" applyProtection="0"/>
    <xf numFmtId="0" fontId="6" fillId="0" borderId="0"/>
    <xf numFmtId="0" fontId="32" fillId="0" borderId="8" applyNumberFormat="0" applyFill="0" applyBorder="0"/>
    <xf numFmtId="168" fontId="1" fillId="0" borderId="0" applyFont="0" applyFill="0" applyBorder="0" applyAlignment="0" applyProtection="0"/>
    <xf numFmtId="0" fontId="26" fillId="7" borderId="2" applyNumberFormat="0" applyAlignment="0" applyProtection="0"/>
    <xf numFmtId="0" fontId="7" fillId="0" borderId="0" applyNumberFormat="0" applyFill="0" applyBorder="0" applyAlignment="0" applyProtection="0"/>
    <xf numFmtId="169" fontId="8" fillId="0" borderId="0" applyFill="0" applyBorder="0">
      <alignment horizontal="right" vertical="center"/>
    </xf>
    <xf numFmtId="170" fontId="8" fillId="0" borderId="0" applyFill="0" applyBorder="0">
      <alignment horizontal="right" vertical="center"/>
    </xf>
    <xf numFmtId="171" fontId="29" fillId="7" borderId="4">
      <alignment horizontal="center"/>
    </xf>
    <xf numFmtId="41" fontId="5" fillId="8" borderId="5" applyFont="0" applyAlignment="0"/>
    <xf numFmtId="0" fontId="13" fillId="11" borderId="0" applyNumberFormat="0">
      <alignment horizontal="center"/>
    </xf>
    <xf numFmtId="0" fontId="30" fillId="0" borderId="0" applyNumberFormat="0" applyFill="0" applyBorder="0" applyProtection="0"/>
    <xf numFmtId="0" fontId="31" fillId="9" borderId="9" applyNumberFormat="0" applyAlignment="0">
      <protection locked="0"/>
    </xf>
    <xf numFmtId="0" fontId="22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10" applyNumberFormat="0" applyFill="0" applyAlignment="0" applyProtection="0"/>
    <xf numFmtId="0" fontId="19" fillId="0" borderId="11" applyNumberFormat="0" applyFill="0" applyAlignment="0" applyProtection="0"/>
    <xf numFmtId="0" fontId="18" fillId="0" borderId="12" applyNumberFormat="0" applyFill="0" applyAlignment="0" applyProtection="0"/>
    <xf numFmtId="172" fontId="16" fillId="3" borderId="1"/>
  </cellStyleXfs>
  <cellXfs count="84">
    <xf numFmtId="0" fontId="0" fillId="0" borderId="0" xfId="0"/>
    <xf numFmtId="164" fontId="2" fillId="2" borderId="2" xfId="0" applyNumberFormat="1" applyFont="1" applyFill="1" applyBorder="1" applyAlignment="1" applyProtection="1">
      <alignment horizontal="center"/>
      <protection locked="0"/>
    </xf>
    <xf numFmtId="0" fontId="16" fillId="3" borderId="1" xfId="10"/>
    <xf numFmtId="0" fontId="17" fillId="0" borderId="0" xfId="11"/>
    <xf numFmtId="0" fontId="18" fillId="0" borderId="0" xfId="12"/>
    <xf numFmtId="0" fontId="26" fillId="0" borderId="3" xfId="13" applyAlignment="1">
      <alignment horizontal="center"/>
    </xf>
    <xf numFmtId="166" fontId="26" fillId="0" borderId="3" xfId="13" applyNumberFormat="1" applyAlignment="1">
      <alignment horizontal="center"/>
    </xf>
    <xf numFmtId="0" fontId="9" fillId="0" borderId="0" xfId="0" applyFont="1"/>
    <xf numFmtId="0" fontId="10" fillId="0" borderId="0" xfId="12" applyFont="1" applyAlignment="1">
      <alignment horizontal="left" vertical="center"/>
    </xf>
    <xf numFmtId="0" fontId="11" fillId="0" borderId="0" xfId="0" applyFont="1"/>
    <xf numFmtId="0" fontId="11" fillId="0" borderId="0" xfId="6" applyFont="1" applyAlignment="1">
      <alignment horizontal="left" vertical="center"/>
    </xf>
    <xf numFmtId="0" fontId="27" fillId="0" borderId="0" xfId="8">
      <alignment horizontal="left"/>
      <protection locked="0"/>
    </xf>
    <xf numFmtId="0" fontId="27" fillId="0" borderId="0" xfId="8" applyAlignment="1">
      <alignment horizontal="right"/>
      <protection locked="0"/>
    </xf>
    <xf numFmtId="0" fontId="13" fillId="11" borderId="0" xfId="33">
      <alignment horizontal="center"/>
    </xf>
    <xf numFmtId="0" fontId="14" fillId="0" borderId="0" xfId="7" applyBorder="1"/>
    <xf numFmtId="0" fontId="12" fillId="0" borderId="0" xfId="0" applyFont="1" applyAlignment="1">
      <alignment horizontal="left"/>
    </xf>
    <xf numFmtId="0" fontId="15" fillId="0" borderId="0" xfId="9" applyBorder="1"/>
    <xf numFmtId="0" fontId="0" fillId="0" borderId="0" xfId="0" applyAlignment="1">
      <alignment horizontal="left"/>
    </xf>
    <xf numFmtId="0" fontId="19" fillId="0" borderId="0" xfId="6" applyBorder="1"/>
    <xf numFmtId="0" fontId="32" fillId="0" borderId="0" xfId="25" applyBorder="1"/>
    <xf numFmtId="0" fontId="25" fillId="4" borderId="4" xfId="14">
      <protection locked="0"/>
    </xf>
    <xf numFmtId="0" fontId="12" fillId="0" borderId="0" xfId="0" applyFont="1"/>
    <xf numFmtId="0" fontId="26" fillId="0" borderId="3" xfId="13" applyAlignment="1"/>
    <xf numFmtId="167" fontId="1" fillId="5" borderId="4" xfId="18"/>
    <xf numFmtId="164" fontId="2" fillId="2" borderId="2" xfId="19">
      <alignment horizontal="center"/>
      <protection locked="0"/>
    </xf>
    <xf numFmtId="0" fontId="28" fillId="6" borderId="5" xfId="21" applyNumberFormat="1"/>
    <xf numFmtId="0" fontId="0" fillId="0" borderId="6" xfId="22" applyNumberFormat="1" applyFont="1"/>
    <xf numFmtId="0" fontId="0" fillId="0" borderId="7" xfId="23" applyNumberFormat="1" applyFont="1"/>
    <xf numFmtId="0" fontId="26" fillId="7" borderId="2" xfId="27"/>
    <xf numFmtId="0" fontId="7" fillId="0" borderId="0" xfId="28"/>
    <xf numFmtId="171" fontId="29" fillId="7" borderId="4" xfId="31">
      <alignment horizontal="center"/>
    </xf>
    <xf numFmtId="41" fontId="0" fillId="8" borderId="5" xfId="32" applyFont="1"/>
    <xf numFmtId="0" fontId="30" fillId="0" borderId="0" xfId="34"/>
    <xf numFmtId="0" fontId="31" fillId="9" borderId="9" xfId="35">
      <protection locked="0"/>
    </xf>
    <xf numFmtId="173" fontId="0" fillId="0" borderId="0" xfId="2" applyFont="1"/>
    <xf numFmtId="168" fontId="0" fillId="0" borderId="0" xfId="26" applyFont="1"/>
    <xf numFmtId="9" fontId="0" fillId="0" borderId="0" xfId="5" applyFont="1"/>
    <xf numFmtId="164" fontId="2" fillId="10" borderId="2" xfId="0" applyNumberFormat="1" applyFont="1" applyFill="1" applyBorder="1" applyAlignment="1" applyProtection="1">
      <alignment horizontal="center"/>
      <protection locked="0"/>
    </xf>
    <xf numFmtId="0" fontId="3" fillId="0" borderId="0" xfId="15"/>
    <xf numFmtId="165" fontId="16" fillId="3" borderId="1" xfId="10" applyNumberFormat="1"/>
    <xf numFmtId="0" fontId="14" fillId="0" borderId="0" xfId="7"/>
    <xf numFmtId="0" fontId="15" fillId="0" borderId="0" xfId="9"/>
    <xf numFmtId="172" fontId="16" fillId="3" borderId="1" xfId="41"/>
    <xf numFmtId="174" fontId="0" fillId="0" borderId="0" xfId="1" applyFont="1"/>
    <xf numFmtId="175" fontId="0" fillId="0" borderId="0" xfId="3" applyNumberFormat="1" applyFont="1"/>
    <xf numFmtId="176" fontId="0" fillId="0" borderId="0" xfId="4" applyNumberFormat="1" applyFont="1"/>
    <xf numFmtId="177" fontId="23" fillId="0" borderId="0" xfId="16" applyNumberFormat="1" applyBorder="1">
      <alignment horizontal="center"/>
    </xf>
    <xf numFmtId="178" fontId="24" fillId="0" borderId="0" xfId="17" applyBorder="1">
      <alignment horizontal="center"/>
    </xf>
    <xf numFmtId="9" fontId="0" fillId="0" borderId="13" xfId="5" applyFont="1" applyBorder="1"/>
    <xf numFmtId="9" fontId="0" fillId="0" borderId="15" xfId="5" applyFont="1" applyBorder="1"/>
    <xf numFmtId="0" fontId="25" fillId="4" borderId="2" xfId="14" applyBorder="1">
      <protection locked="0"/>
    </xf>
    <xf numFmtId="0" fontId="0" fillId="0" borderId="2" xfId="0" applyBorder="1"/>
    <xf numFmtId="0" fontId="13" fillId="11" borderId="14" xfId="33" applyBorder="1">
      <alignment horizontal="center"/>
    </xf>
    <xf numFmtId="0" fontId="13" fillId="11" borderId="2" xfId="33" applyBorder="1">
      <alignment horizontal="center"/>
    </xf>
    <xf numFmtId="0" fontId="13" fillId="11" borderId="17" xfId="33" applyBorder="1">
      <alignment horizontal="center"/>
    </xf>
    <xf numFmtId="0" fontId="13" fillId="11" borderId="18" xfId="33" applyBorder="1">
      <alignment horizontal="center"/>
    </xf>
    <xf numFmtId="0" fontId="13" fillId="11" borderId="16" xfId="33" applyBorder="1">
      <alignment horizontal="center"/>
    </xf>
    <xf numFmtId="0" fontId="25" fillId="4" borderId="19" xfId="14" applyBorder="1">
      <protection locked="0"/>
    </xf>
    <xf numFmtId="0" fontId="26" fillId="7" borderId="2" xfId="27" applyProtection="1">
      <protection locked="0"/>
    </xf>
    <xf numFmtId="164" fontId="2" fillId="2" borderId="0" xfId="0" applyNumberFormat="1" applyFont="1" applyFill="1" applyAlignment="1" applyProtection="1">
      <alignment horizontal="center"/>
      <protection locked="0"/>
    </xf>
    <xf numFmtId="0" fontId="26" fillId="7" borderId="29" xfId="27" applyBorder="1"/>
    <xf numFmtId="0" fontId="0" fillId="0" borderId="24" xfId="0" applyBorder="1"/>
    <xf numFmtId="0" fontId="26" fillId="7" borderId="25" xfId="27" applyBorder="1"/>
    <xf numFmtId="0" fontId="13" fillId="11" borderId="21" xfId="33" applyBorder="1">
      <alignment horizontal="center"/>
    </xf>
    <xf numFmtId="0" fontId="13" fillId="11" borderId="22" xfId="33" applyBorder="1">
      <alignment horizontal="center"/>
    </xf>
    <xf numFmtId="0" fontId="13" fillId="11" borderId="23" xfId="33" applyBorder="1">
      <alignment horizontal="center"/>
    </xf>
    <xf numFmtId="0" fontId="0" fillId="0" borderId="26" xfId="0" applyBorder="1"/>
    <xf numFmtId="0" fontId="26" fillId="7" borderId="27" xfId="27" applyBorder="1"/>
    <xf numFmtId="0" fontId="26" fillId="7" borderId="28" xfId="27" applyBorder="1"/>
    <xf numFmtId="0" fontId="13" fillId="11" borderId="15" xfId="33" applyBorder="1">
      <alignment horizontal="center"/>
    </xf>
    <xf numFmtId="0" fontId="13" fillId="11" borderId="20" xfId="33" applyBorder="1">
      <alignment horizontal="center"/>
    </xf>
    <xf numFmtId="0" fontId="13" fillId="11" borderId="30" xfId="33" applyBorder="1">
      <alignment horizontal="center"/>
    </xf>
    <xf numFmtId="0" fontId="13" fillId="11" borderId="31" xfId="33" applyBorder="1">
      <alignment horizontal="center"/>
    </xf>
    <xf numFmtId="0" fontId="26" fillId="7" borderId="20" xfId="27" applyBorder="1"/>
    <xf numFmtId="0" fontId="26" fillId="7" borderId="14" xfId="27" applyBorder="1"/>
    <xf numFmtId="0" fontId="13" fillId="11" borderId="0" xfId="33" applyAlignment="1">
      <alignment horizontal="centerContinuous"/>
    </xf>
    <xf numFmtId="168" fontId="26" fillId="7" borderId="25" xfId="26" applyFont="1" applyFill="1" applyBorder="1"/>
    <xf numFmtId="0" fontId="11" fillId="0" borderId="0" xfId="6" applyFont="1" applyAlignment="1">
      <alignment horizontal="left" vertical="center"/>
    </xf>
    <xf numFmtId="0" fontId="27" fillId="0" borderId="0" xfId="8">
      <alignment horizontal="left"/>
      <protection locked="0"/>
    </xf>
    <xf numFmtId="0" fontId="0" fillId="0" borderId="0" xfId="0"/>
    <xf numFmtId="0" fontId="13" fillId="11" borderId="0" xfId="33">
      <alignment horizontal="center"/>
    </xf>
    <xf numFmtId="0" fontId="26" fillId="0" borderId="3" xfId="13" applyAlignment="1">
      <alignment horizontal="left"/>
    </xf>
    <xf numFmtId="0" fontId="25" fillId="4" borderId="4" xfId="14" applyAlignment="1">
      <alignment horizontal="left"/>
      <protection locked="0"/>
    </xf>
    <xf numFmtId="168" fontId="26" fillId="7" borderId="2" xfId="27" applyNumberFormat="1"/>
  </cellXfs>
  <cellStyles count="42">
    <cellStyle name="Accounts Ref" xfId="15" xr:uid="{00000000-0005-0000-0000-000000000000}"/>
    <cellStyle name="Assumption" xfId="14" xr:uid="{00000000-0005-0000-0000-000001000000}"/>
    <cellStyle name="Comma" xfId="1" builtinId="3" customBuiltin="1"/>
    <cellStyle name="Comma [0]" xfId="2" builtinId="6" customBuiltin="1"/>
    <cellStyle name="Constraint" xfId="13" xr:uid="{00000000-0005-0000-0000-000004000000}"/>
    <cellStyle name="Currency" xfId="3" builtinId="4"/>
    <cellStyle name="Currency [0]" xfId="4" builtinId="7"/>
    <cellStyle name="Date" xfId="16" xr:uid="{00000000-0005-0000-0000-000007000000}"/>
    <cellStyle name="Date Heading" xfId="17" xr:uid="{00000000-0005-0000-0000-000008000000}"/>
    <cellStyle name="Empty" xfId="18" xr:uid="{00000000-0005-0000-0000-000009000000}"/>
    <cellStyle name="Error_Checks" xfId="19" xr:uid="{00000000-0005-0000-0000-00000A000000}"/>
    <cellStyle name="Heading 1" xfId="37" builtinId="16" customBuiltin="1"/>
    <cellStyle name="Heading 1 Number" xfId="41" xr:uid="{00000000-0005-0000-0000-00000C000000}"/>
    <cellStyle name="Heading 1 Text" xfId="10" xr:uid="{00000000-0005-0000-0000-00000D000000}"/>
    <cellStyle name="Heading 2" xfId="38" builtinId="17" customBuiltin="1"/>
    <cellStyle name="Heading 2 Text" xfId="11" xr:uid="{00000000-0005-0000-0000-00000F000000}"/>
    <cellStyle name="Heading 3" xfId="39" builtinId="18" customBuiltin="1"/>
    <cellStyle name="Heading 3 Text" xfId="12" xr:uid="{00000000-0005-0000-0000-000011000000}"/>
    <cellStyle name="Heading 4" xfId="6" builtinId="19" customBuiltin="1"/>
    <cellStyle name="Hyperlink" xfId="8" builtinId="8" customBuiltin="1"/>
    <cellStyle name="Hyperlink Text" xfId="20" xr:uid="{00000000-0005-0000-0000-000014000000}"/>
    <cellStyle name="Internal Ref" xfId="21" xr:uid="{00000000-0005-0000-0000-000015000000}"/>
    <cellStyle name="Line Calc" xfId="22" xr:uid="{00000000-0005-0000-0000-000016000000}"/>
    <cellStyle name="Line Total" xfId="23" xr:uid="{00000000-0005-0000-0000-000017000000}"/>
    <cellStyle name="Model Name" xfId="9" xr:uid="{00000000-0005-0000-0000-000018000000}"/>
    <cellStyle name="Normal" xfId="0" builtinId="0" customBuiltin="1"/>
    <cellStyle name="Normal 2" xfId="24" xr:uid="{00000000-0005-0000-0000-00001A000000}"/>
    <cellStyle name="Notes" xfId="25" xr:uid="{00000000-0005-0000-0000-00001B000000}"/>
    <cellStyle name="Numbers 0" xfId="26" xr:uid="{00000000-0005-0000-0000-00001C000000}"/>
    <cellStyle name="Parameter" xfId="27" xr:uid="{00000000-0005-0000-0000-00001D000000}"/>
    <cellStyle name="Percent" xfId="5" builtinId="5"/>
    <cellStyle name="Range Name Description" xfId="28" xr:uid="{00000000-0005-0000-0000-00001F000000}"/>
    <cellStyle name="Right Currency" xfId="29" xr:uid="{00000000-0005-0000-0000-000020000000}"/>
    <cellStyle name="Right Number" xfId="30" xr:uid="{00000000-0005-0000-0000-000021000000}"/>
    <cellStyle name="Row Ref" xfId="31" xr:uid="{00000000-0005-0000-0000-000022000000}"/>
    <cellStyle name="Row_Summary" xfId="32" xr:uid="{00000000-0005-0000-0000-000023000000}"/>
    <cellStyle name="Sheet Title" xfId="7" xr:uid="{00000000-0005-0000-0000-000024000000}"/>
    <cellStyle name="Table_Heading" xfId="33" xr:uid="{00000000-0005-0000-0000-000025000000}"/>
    <cellStyle name="Title" xfId="36" builtinId="15" customBuiltin="1"/>
    <cellStyle name="Total" xfId="40" builtinId="25" customBuiltin="1"/>
    <cellStyle name="Units" xfId="34" xr:uid="{00000000-0005-0000-0000-000028000000}"/>
    <cellStyle name="WIP" xfId="35" xr:uid="{00000000-0005-0000-0000-000029000000}"/>
  </cellStyles>
  <dxfs count="28"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FFFF00"/>
      </font>
      <fill>
        <patternFill>
          <bgColor rgb="FFFF0000"/>
        </patternFill>
      </fill>
    </dxf>
    <dxf>
      <border outline="0"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 tint="-0.499984740745262"/>
        <name val="Arial"/>
        <family val="2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 tint="-0.499984740745262"/>
        <name val="Arial"/>
        <family val="2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 tint="-0.499984740745262"/>
        <name val="Arial"/>
        <family val="2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 tint="-0.499984740745262"/>
        <name val="Arial"/>
        <family val="2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0" formatCode="General"/>
      <protection locked="0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1" tint="0.49998474074526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Table Style 1" pivot="0" count="3" xr9:uid="{00000000-0011-0000-FFFF-FFFF00000000}">
      <tableStyleElement type="headerRow" dxfId="27"/>
      <tableStyleElement type="firstRowStripe" dxfId="26"/>
      <tableStyleElement type="secondRowStripe" dxfId="25"/>
    </tableStyle>
  </tableStyles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Stacked</a:t>
            </a:r>
            <a:r>
              <a:rPr lang="en-AU" baseline="0"/>
              <a:t>: Cloud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'Horizontal Raincloud Bar Cloud'!$I$22</c:f>
              <c:strCache>
                <c:ptCount val="1"/>
                <c:pt idx="0">
                  <c:v>Base 25th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'Horizontal Raincloud Bar Cloud'!$J$21:$L$21</c:f>
              <c:strCache>
                <c:ptCount val="3"/>
                <c:pt idx="2">
                  <c:v>Cloud 1</c:v>
                </c:pt>
              </c:strCache>
            </c:strRef>
          </c:cat>
          <c:val>
            <c:numRef>
              <c:f>'Horizontal Raincloud Bar Cloud'!$J$22:$L$22</c:f>
              <c:numCache>
                <c:formatCode>General</c:formatCode>
                <c:ptCount val="3"/>
                <c:pt idx="2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6-4FFD-81A6-6BEF765A7323}"/>
            </c:ext>
          </c:extLst>
        </c:ser>
        <c:ser>
          <c:idx val="1"/>
          <c:order val="1"/>
          <c:tx>
            <c:strRef>
              <c:f>'Horizontal Raincloud Bar Cloud'!$I$23</c:f>
              <c:strCache>
                <c:ptCount val="1"/>
                <c:pt idx="0">
                  <c:v>Bottom 25-50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'Horizontal Raincloud Bar Cloud'!$J$21:$L$21</c:f>
              <c:strCache>
                <c:ptCount val="3"/>
                <c:pt idx="2">
                  <c:v>Cloud 1</c:v>
                </c:pt>
              </c:strCache>
            </c:strRef>
          </c:cat>
          <c:val>
            <c:numRef>
              <c:f>'Horizontal Raincloud Bar Cloud'!$J$23:$L$23</c:f>
              <c:numCache>
                <c:formatCode>General</c:formatCode>
                <c:ptCount val="3"/>
                <c:pt idx="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86-4FFD-81A6-6BEF765A7323}"/>
            </c:ext>
          </c:extLst>
        </c:ser>
        <c:ser>
          <c:idx val="2"/>
          <c:order val="2"/>
          <c:tx>
            <c:strRef>
              <c:f>'Horizontal Raincloud Bar Cloud'!$I$24</c:f>
              <c:strCache>
                <c:ptCount val="1"/>
                <c:pt idx="0">
                  <c:v>Top 50-75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'Horizontal Raincloud Bar Cloud'!$J$21:$L$21</c:f>
              <c:strCache>
                <c:ptCount val="3"/>
                <c:pt idx="2">
                  <c:v>Cloud 1</c:v>
                </c:pt>
              </c:strCache>
            </c:strRef>
          </c:cat>
          <c:val>
            <c:numRef>
              <c:f>'Horizontal Raincloud Bar Cloud'!$J$24:$L$24</c:f>
              <c:numCache>
                <c:formatCode>General</c:formatCode>
                <c:ptCount val="3"/>
                <c:pt idx="2">
                  <c:v>21.25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86-4FFD-81A6-6BEF765A7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3986624"/>
        <c:axId val="1833967072"/>
      </c:barChart>
      <c:catAx>
        <c:axId val="1833986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967072"/>
        <c:crosses val="autoZero"/>
        <c:auto val="1"/>
        <c:lblAlgn val="ctr"/>
        <c:lblOffset val="100"/>
        <c:noMultiLvlLbl val="0"/>
      </c:catAx>
      <c:valAx>
        <c:axId val="1833967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986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99759405074366E-2"/>
          <c:y val="0.15319444444444447"/>
          <c:w val="0.87755796150481191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'Horizontal Raincloud Bar Cloud'!$G$9</c:f>
              <c:strCache>
                <c:ptCount val="1"/>
                <c:pt idx="0">
                  <c:v>Cloud 1: X-position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'Horizontal Raincloud Bar Cloud'!$E$10:$E$69</c:f>
              <c:numCache>
                <c:formatCode>General</c:formatCode>
                <c:ptCount val="60"/>
                <c:pt idx="0">
                  <c:v>1</c:v>
                </c:pt>
                <c:pt idx="1">
                  <c:v>8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18</c:v>
                </c:pt>
                <c:pt idx="13">
                  <c:v>18</c:v>
                </c:pt>
                <c:pt idx="14">
                  <c:v>19</c:v>
                </c:pt>
                <c:pt idx="15">
                  <c:v>21</c:v>
                </c:pt>
                <c:pt idx="16">
                  <c:v>27</c:v>
                </c:pt>
                <c:pt idx="17">
                  <c:v>27</c:v>
                </c:pt>
                <c:pt idx="18">
                  <c:v>28</c:v>
                </c:pt>
                <c:pt idx="19">
                  <c:v>28</c:v>
                </c:pt>
                <c:pt idx="20">
                  <c:v>29</c:v>
                </c:pt>
                <c:pt idx="21">
                  <c:v>29</c:v>
                </c:pt>
                <c:pt idx="22">
                  <c:v>31</c:v>
                </c:pt>
                <c:pt idx="23">
                  <c:v>31</c:v>
                </c:pt>
                <c:pt idx="24">
                  <c:v>31</c:v>
                </c:pt>
                <c:pt idx="25">
                  <c:v>33</c:v>
                </c:pt>
                <c:pt idx="26">
                  <c:v>34</c:v>
                </c:pt>
                <c:pt idx="27">
                  <c:v>38</c:v>
                </c:pt>
                <c:pt idx="28">
                  <c:v>39</c:v>
                </c:pt>
                <c:pt idx="29">
                  <c:v>43</c:v>
                </c:pt>
                <c:pt idx="30">
                  <c:v>44</c:v>
                </c:pt>
                <c:pt idx="31">
                  <c:v>48</c:v>
                </c:pt>
                <c:pt idx="32">
                  <c:v>48</c:v>
                </c:pt>
                <c:pt idx="33">
                  <c:v>50</c:v>
                </c:pt>
                <c:pt idx="34">
                  <c:v>51</c:v>
                </c:pt>
                <c:pt idx="35">
                  <c:v>52</c:v>
                </c:pt>
                <c:pt idx="36">
                  <c:v>53</c:v>
                </c:pt>
                <c:pt idx="37">
                  <c:v>53</c:v>
                </c:pt>
                <c:pt idx="38">
                  <c:v>56</c:v>
                </c:pt>
                <c:pt idx="39">
                  <c:v>56</c:v>
                </c:pt>
                <c:pt idx="40">
                  <c:v>60</c:v>
                </c:pt>
                <c:pt idx="41">
                  <c:v>60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67</c:v>
                </c:pt>
                <c:pt idx="46">
                  <c:v>67</c:v>
                </c:pt>
                <c:pt idx="47">
                  <c:v>68</c:v>
                </c:pt>
                <c:pt idx="48">
                  <c:v>68</c:v>
                </c:pt>
                <c:pt idx="49">
                  <c:v>68</c:v>
                </c:pt>
                <c:pt idx="50">
                  <c:v>70</c:v>
                </c:pt>
                <c:pt idx="51">
                  <c:v>73</c:v>
                </c:pt>
                <c:pt idx="52">
                  <c:v>78</c:v>
                </c:pt>
                <c:pt idx="53">
                  <c:v>90</c:v>
                </c:pt>
                <c:pt idx="54">
                  <c:v>90</c:v>
                </c:pt>
                <c:pt idx="55">
                  <c:v>92</c:v>
                </c:pt>
                <c:pt idx="56">
                  <c:v>92</c:v>
                </c:pt>
                <c:pt idx="57">
                  <c:v>93</c:v>
                </c:pt>
                <c:pt idx="58">
                  <c:v>95</c:v>
                </c:pt>
                <c:pt idx="59">
                  <c:v>99</c:v>
                </c:pt>
              </c:numCache>
            </c:numRef>
          </c:xVal>
          <c:yVal>
            <c:numRef>
              <c:f>'Horizontal Raincloud Bar Cloud'!$G$10:$G$69</c:f>
              <c:numCache>
                <c:formatCode>General</c:formatCode>
                <c:ptCount val="60"/>
                <c:pt idx="0">
                  <c:v>1.5</c:v>
                </c:pt>
                <c:pt idx="1">
                  <c:v>1.5</c:v>
                </c:pt>
                <c:pt idx="2">
                  <c:v>1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</c:v>
                </c:pt>
                <c:pt idx="8">
                  <c:v>0.5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  <c:pt idx="17">
                  <c:v>1</c:v>
                </c:pt>
                <c:pt idx="18">
                  <c:v>1.5</c:v>
                </c:pt>
                <c:pt idx="19">
                  <c:v>1</c:v>
                </c:pt>
                <c:pt idx="20">
                  <c:v>1.5</c:v>
                </c:pt>
                <c:pt idx="21">
                  <c:v>1</c:v>
                </c:pt>
                <c:pt idx="22">
                  <c:v>1.5</c:v>
                </c:pt>
                <c:pt idx="23">
                  <c:v>1</c:v>
                </c:pt>
                <c:pt idx="24">
                  <c:v>0.5</c:v>
                </c:pt>
                <c:pt idx="25">
                  <c:v>1.5</c:v>
                </c:pt>
                <c:pt idx="26">
                  <c:v>1.5</c:v>
                </c:pt>
                <c:pt idx="27">
                  <c:v>1.5</c:v>
                </c:pt>
                <c:pt idx="28">
                  <c:v>1.5</c:v>
                </c:pt>
                <c:pt idx="29">
                  <c:v>1.5</c:v>
                </c:pt>
                <c:pt idx="30">
                  <c:v>1.5</c:v>
                </c:pt>
                <c:pt idx="31">
                  <c:v>1.5</c:v>
                </c:pt>
                <c:pt idx="32">
                  <c:v>1</c:v>
                </c:pt>
                <c:pt idx="33">
                  <c:v>1.5</c:v>
                </c:pt>
                <c:pt idx="34">
                  <c:v>1.5</c:v>
                </c:pt>
                <c:pt idx="35">
                  <c:v>1.5</c:v>
                </c:pt>
                <c:pt idx="36">
                  <c:v>1.5</c:v>
                </c:pt>
                <c:pt idx="37">
                  <c:v>1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</c:v>
                </c:pt>
                <c:pt idx="42">
                  <c:v>1.5</c:v>
                </c:pt>
                <c:pt idx="43">
                  <c:v>1.5</c:v>
                </c:pt>
                <c:pt idx="44">
                  <c:v>1.5</c:v>
                </c:pt>
                <c:pt idx="45">
                  <c:v>1.5</c:v>
                </c:pt>
                <c:pt idx="46">
                  <c:v>1</c:v>
                </c:pt>
                <c:pt idx="47">
                  <c:v>1.5</c:v>
                </c:pt>
                <c:pt idx="48">
                  <c:v>1</c:v>
                </c:pt>
                <c:pt idx="49">
                  <c:v>0.5</c:v>
                </c:pt>
                <c:pt idx="50">
                  <c:v>1.5</c:v>
                </c:pt>
                <c:pt idx="51">
                  <c:v>1.5</c:v>
                </c:pt>
                <c:pt idx="52">
                  <c:v>1.5</c:v>
                </c:pt>
                <c:pt idx="53">
                  <c:v>1.5</c:v>
                </c:pt>
                <c:pt idx="54">
                  <c:v>1</c:v>
                </c:pt>
                <c:pt idx="55">
                  <c:v>1.5</c:v>
                </c:pt>
                <c:pt idx="56">
                  <c:v>1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0E-4664-860E-58FD471E1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971232"/>
        <c:axId val="1833980800"/>
      </c:scatterChart>
      <c:valAx>
        <c:axId val="183397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980800"/>
        <c:crosses val="autoZero"/>
        <c:crossBetween val="midCat"/>
      </c:valAx>
      <c:valAx>
        <c:axId val="1833980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971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 Bar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'Horizontal Raincloud Bar Cloud'!$J$26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'Horizontal Raincloud Bar Cloud'!$J$30</c:f>
                <c:numCache>
                  <c:formatCode>General</c:formatCode>
                  <c:ptCount val="1"/>
                  <c:pt idx="0">
                    <c:v>46.5</c:v>
                  </c:pt>
                </c:numCache>
              </c:numRef>
            </c:plus>
            <c:minus>
              <c:numRef>
                <c:f>'Horizontal Raincloud Bar Cloud'!$J$31</c:f>
                <c:numCache>
                  <c:formatCode>General</c:formatCode>
                  <c:ptCount val="1"/>
                  <c:pt idx="0">
                    <c:v>31.6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'Horizontal Raincloud Bar Cloud'!$I$27</c:f>
              <c:numCache>
                <c:formatCode>General</c:formatCode>
                <c:ptCount val="1"/>
                <c:pt idx="0">
                  <c:v>43.5</c:v>
                </c:pt>
              </c:numCache>
            </c:numRef>
          </c:xVal>
          <c:yVal>
            <c:numRef>
              <c:f>'Horizontal Raincloud Bar Cloud'!$J$27</c:f>
              <c:numCache>
                <c:formatCode>General</c:formatCode>
                <c:ptCount val="1"/>
                <c:pt idx="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42-4B89-80D2-91CEE984E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794896"/>
        <c:axId val="1721793232"/>
      </c:scatterChart>
      <c:valAx>
        <c:axId val="172179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793232"/>
        <c:crosses val="autoZero"/>
        <c:crossBetween val="midCat"/>
      </c:valAx>
      <c:valAx>
        <c:axId val="1721793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794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Horizontal Raincloud Chart</a:t>
            </a:r>
            <a:endParaRPr lang="en-AU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20603413995503"/>
          <c:y val="0.15319437809569306"/>
          <c:w val="0.81757411834847737"/>
          <c:h val="0.72088764946048411"/>
        </c:manualLayout>
      </c:layout>
      <c:barChart>
        <c:barDir val="bar"/>
        <c:grouping val="stacked"/>
        <c:varyColors val="0"/>
        <c:ser>
          <c:idx val="1"/>
          <c:order val="0"/>
          <c:tx>
            <c:strRef>
              <c:f>'Horizontal Raincloud Bar Cloud'!$I$22</c:f>
              <c:strCache>
                <c:ptCount val="1"/>
                <c:pt idx="0">
                  <c:v>Base 25th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cat>
            <c:strRef>
              <c:f>'Horizontal Raincloud Bar Cloud'!$J$21:$L$21</c:f>
              <c:strCache>
                <c:ptCount val="3"/>
                <c:pt idx="2">
                  <c:v>Cloud 1</c:v>
                </c:pt>
              </c:strCache>
            </c:strRef>
          </c:cat>
          <c:val>
            <c:numRef>
              <c:f>'Horizontal Raincloud Bar Cloud'!$J$22:$L$22</c:f>
              <c:numCache>
                <c:formatCode>General</c:formatCode>
                <c:ptCount val="3"/>
                <c:pt idx="2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81E-463F-A1AE-D536A210889F}"/>
            </c:ext>
          </c:extLst>
        </c:ser>
        <c:ser>
          <c:idx val="2"/>
          <c:order val="1"/>
          <c:tx>
            <c:strRef>
              <c:f>'Horizontal Raincloud Bar Cloud'!$I$23</c:f>
              <c:strCache>
                <c:ptCount val="1"/>
                <c:pt idx="0">
                  <c:v>Bottom 25-50</c:v>
                </c:pt>
              </c:strCache>
            </c:strRef>
          </c:tx>
          <c:invertIfNegative val="0"/>
          <c:cat>
            <c:strRef>
              <c:f>'Horizontal Raincloud Bar Cloud'!$J$21:$L$21</c:f>
              <c:strCache>
                <c:ptCount val="3"/>
                <c:pt idx="2">
                  <c:v>Cloud 1</c:v>
                </c:pt>
              </c:strCache>
            </c:strRef>
          </c:cat>
          <c:val>
            <c:numRef>
              <c:f>'Horizontal Raincloud Bar Cloud'!$J$23:$L$23</c:f>
              <c:numCache>
                <c:formatCode>General</c:formatCode>
                <c:ptCount val="3"/>
                <c:pt idx="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81E-463F-A1AE-D536A210889F}"/>
            </c:ext>
          </c:extLst>
        </c:ser>
        <c:ser>
          <c:idx val="3"/>
          <c:order val="2"/>
          <c:tx>
            <c:strRef>
              <c:f>'Horizontal Raincloud Bar Cloud'!$I$24</c:f>
              <c:strCache>
                <c:ptCount val="1"/>
                <c:pt idx="0">
                  <c:v>Top 50-75</c:v>
                </c:pt>
              </c:strCache>
            </c:strRef>
          </c:tx>
          <c:invertIfNegative val="0"/>
          <c:cat>
            <c:strRef>
              <c:f>'Horizontal Raincloud Bar Cloud'!$J$21:$L$21</c:f>
              <c:strCache>
                <c:ptCount val="3"/>
                <c:pt idx="2">
                  <c:v>Cloud 1</c:v>
                </c:pt>
              </c:strCache>
            </c:strRef>
          </c:cat>
          <c:val>
            <c:numRef>
              <c:f>'Horizontal Raincloud Bar Cloud'!$J$24:$L$24</c:f>
              <c:numCache>
                <c:formatCode>General</c:formatCode>
                <c:ptCount val="3"/>
                <c:pt idx="2">
                  <c:v>21.25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81E-463F-A1AE-D536A2108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3971232"/>
        <c:axId val="1833980800"/>
      </c:barChart>
      <c:scatterChart>
        <c:scatterStyle val="lineMarker"/>
        <c:varyColors val="0"/>
        <c:ser>
          <c:idx val="4"/>
          <c:order val="3"/>
          <c:tx>
            <c:strRef>
              <c:f>'Horizontal Raincloud Bar Cloud'!$J$26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  <a:effectLst/>
          </c:spPr>
          <c:marker>
            <c:spPr>
              <a:ln>
                <a:solidFill>
                  <a:srgbClr val="FF0000"/>
                </a:solidFill>
              </a:ln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'Horizontal Raincloud Bar Cloud'!$J$30</c:f>
                <c:numCache>
                  <c:formatCode>General</c:formatCode>
                  <c:ptCount val="1"/>
                  <c:pt idx="0">
                    <c:v>46.5</c:v>
                  </c:pt>
                </c:numCache>
              </c:numRef>
            </c:plus>
            <c:minus>
              <c:numRef>
                <c:f>'Horizontal Raincloud Bar Cloud'!$J$31</c:f>
                <c:numCache>
                  <c:formatCode>General</c:formatCode>
                  <c:ptCount val="1"/>
                  <c:pt idx="0">
                    <c:v>31.6</c:v>
                  </c:pt>
                </c:numCache>
              </c:numRef>
            </c:minus>
          </c:errBars>
          <c:xVal>
            <c:numRef>
              <c:f>'Horizontal Raincloud Bar Cloud'!$I$27</c:f>
              <c:numCache>
                <c:formatCode>General</c:formatCode>
                <c:ptCount val="1"/>
                <c:pt idx="0">
                  <c:v>43.5</c:v>
                </c:pt>
              </c:numCache>
            </c:numRef>
          </c:xVal>
          <c:yVal>
            <c:numRef>
              <c:f>'Horizontal Raincloud Bar Cloud'!$J$27</c:f>
              <c:numCache>
                <c:formatCode>General</c:formatCode>
                <c:ptCount val="1"/>
                <c:pt idx="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81E-463F-A1AE-D536A210889F}"/>
            </c:ext>
          </c:extLst>
        </c:ser>
        <c:ser>
          <c:idx val="0"/>
          <c:order val="4"/>
          <c:tx>
            <c:strRef>
              <c:f>'Horizontal Raincloud Bar Cloud'!$G$9</c:f>
              <c:strCache>
                <c:ptCount val="1"/>
                <c:pt idx="0">
                  <c:v>Cloud 1: X-position</c:v>
                </c:pt>
              </c:strCache>
            </c:strRef>
          </c:tx>
          <c:spPr>
            <a:ln w="28575">
              <a:noFill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'Horizontal Raincloud Bar Cloud'!$E$10:$E$69</c:f>
              <c:numCache>
                <c:formatCode>General</c:formatCode>
                <c:ptCount val="60"/>
                <c:pt idx="0">
                  <c:v>1</c:v>
                </c:pt>
                <c:pt idx="1">
                  <c:v>8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18</c:v>
                </c:pt>
                <c:pt idx="13">
                  <c:v>18</c:v>
                </c:pt>
                <c:pt idx="14">
                  <c:v>19</c:v>
                </c:pt>
                <c:pt idx="15">
                  <c:v>21</c:v>
                </c:pt>
                <c:pt idx="16">
                  <c:v>27</c:v>
                </c:pt>
                <c:pt idx="17">
                  <c:v>27</c:v>
                </c:pt>
                <c:pt idx="18">
                  <c:v>28</c:v>
                </c:pt>
                <c:pt idx="19">
                  <c:v>28</c:v>
                </c:pt>
                <c:pt idx="20">
                  <c:v>29</c:v>
                </c:pt>
                <c:pt idx="21">
                  <c:v>29</c:v>
                </c:pt>
                <c:pt idx="22">
                  <c:v>31</c:v>
                </c:pt>
                <c:pt idx="23">
                  <c:v>31</c:v>
                </c:pt>
                <c:pt idx="24">
                  <c:v>31</c:v>
                </c:pt>
                <c:pt idx="25">
                  <c:v>33</c:v>
                </c:pt>
                <c:pt idx="26">
                  <c:v>34</c:v>
                </c:pt>
                <c:pt idx="27">
                  <c:v>38</c:v>
                </c:pt>
                <c:pt idx="28">
                  <c:v>39</c:v>
                </c:pt>
                <c:pt idx="29">
                  <c:v>43</c:v>
                </c:pt>
                <c:pt idx="30">
                  <c:v>44</c:v>
                </c:pt>
                <c:pt idx="31">
                  <c:v>48</c:v>
                </c:pt>
                <c:pt idx="32">
                  <c:v>48</c:v>
                </c:pt>
                <c:pt idx="33">
                  <c:v>50</c:v>
                </c:pt>
                <c:pt idx="34">
                  <c:v>51</c:v>
                </c:pt>
                <c:pt idx="35">
                  <c:v>52</c:v>
                </c:pt>
                <c:pt idx="36">
                  <c:v>53</c:v>
                </c:pt>
                <c:pt idx="37">
                  <c:v>53</c:v>
                </c:pt>
                <c:pt idx="38">
                  <c:v>56</c:v>
                </c:pt>
                <c:pt idx="39">
                  <c:v>56</c:v>
                </c:pt>
                <c:pt idx="40">
                  <c:v>60</c:v>
                </c:pt>
                <c:pt idx="41">
                  <c:v>60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67</c:v>
                </c:pt>
                <c:pt idx="46">
                  <c:v>67</c:v>
                </c:pt>
                <c:pt idx="47">
                  <c:v>68</c:v>
                </c:pt>
                <c:pt idx="48">
                  <c:v>68</c:v>
                </c:pt>
                <c:pt idx="49">
                  <c:v>68</c:v>
                </c:pt>
                <c:pt idx="50">
                  <c:v>70</c:v>
                </c:pt>
                <c:pt idx="51">
                  <c:v>73</c:v>
                </c:pt>
                <c:pt idx="52">
                  <c:v>78</c:v>
                </c:pt>
                <c:pt idx="53">
                  <c:v>90</c:v>
                </c:pt>
                <c:pt idx="54">
                  <c:v>90</c:v>
                </c:pt>
                <c:pt idx="55">
                  <c:v>92</c:v>
                </c:pt>
                <c:pt idx="56">
                  <c:v>92</c:v>
                </c:pt>
                <c:pt idx="57">
                  <c:v>93</c:v>
                </c:pt>
                <c:pt idx="58">
                  <c:v>95</c:v>
                </c:pt>
                <c:pt idx="59">
                  <c:v>99</c:v>
                </c:pt>
              </c:numCache>
            </c:numRef>
          </c:xVal>
          <c:yVal>
            <c:numRef>
              <c:f>'Horizontal Raincloud Bar Cloud'!$G$10:$G$69</c:f>
              <c:numCache>
                <c:formatCode>General</c:formatCode>
                <c:ptCount val="60"/>
                <c:pt idx="0">
                  <c:v>1.5</c:v>
                </c:pt>
                <c:pt idx="1">
                  <c:v>1.5</c:v>
                </c:pt>
                <c:pt idx="2">
                  <c:v>1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</c:v>
                </c:pt>
                <c:pt idx="8">
                  <c:v>0.5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  <c:pt idx="17">
                  <c:v>1</c:v>
                </c:pt>
                <c:pt idx="18">
                  <c:v>1.5</c:v>
                </c:pt>
                <c:pt idx="19">
                  <c:v>1</c:v>
                </c:pt>
                <c:pt idx="20">
                  <c:v>1.5</c:v>
                </c:pt>
                <c:pt idx="21">
                  <c:v>1</c:v>
                </c:pt>
                <c:pt idx="22">
                  <c:v>1.5</c:v>
                </c:pt>
                <c:pt idx="23">
                  <c:v>1</c:v>
                </c:pt>
                <c:pt idx="24">
                  <c:v>0.5</c:v>
                </c:pt>
                <c:pt idx="25">
                  <c:v>1.5</c:v>
                </c:pt>
                <c:pt idx="26">
                  <c:v>1.5</c:v>
                </c:pt>
                <c:pt idx="27">
                  <c:v>1.5</c:v>
                </c:pt>
                <c:pt idx="28">
                  <c:v>1.5</c:v>
                </c:pt>
                <c:pt idx="29">
                  <c:v>1.5</c:v>
                </c:pt>
                <c:pt idx="30">
                  <c:v>1.5</c:v>
                </c:pt>
                <c:pt idx="31">
                  <c:v>1.5</c:v>
                </c:pt>
                <c:pt idx="32">
                  <c:v>1</c:v>
                </c:pt>
                <c:pt idx="33">
                  <c:v>1.5</c:v>
                </c:pt>
                <c:pt idx="34">
                  <c:v>1.5</c:v>
                </c:pt>
                <c:pt idx="35">
                  <c:v>1.5</c:v>
                </c:pt>
                <c:pt idx="36">
                  <c:v>1.5</c:v>
                </c:pt>
                <c:pt idx="37">
                  <c:v>1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</c:v>
                </c:pt>
                <c:pt idx="42">
                  <c:v>1.5</c:v>
                </c:pt>
                <c:pt idx="43">
                  <c:v>1.5</c:v>
                </c:pt>
                <c:pt idx="44">
                  <c:v>1.5</c:v>
                </c:pt>
                <c:pt idx="45">
                  <c:v>1.5</c:v>
                </c:pt>
                <c:pt idx="46">
                  <c:v>1</c:v>
                </c:pt>
                <c:pt idx="47">
                  <c:v>1.5</c:v>
                </c:pt>
                <c:pt idx="48">
                  <c:v>1</c:v>
                </c:pt>
                <c:pt idx="49">
                  <c:v>0.5</c:v>
                </c:pt>
                <c:pt idx="50">
                  <c:v>1.5</c:v>
                </c:pt>
                <c:pt idx="51">
                  <c:v>1.5</c:v>
                </c:pt>
                <c:pt idx="52">
                  <c:v>1.5</c:v>
                </c:pt>
                <c:pt idx="53">
                  <c:v>1.5</c:v>
                </c:pt>
                <c:pt idx="54">
                  <c:v>1</c:v>
                </c:pt>
                <c:pt idx="55">
                  <c:v>1.5</c:v>
                </c:pt>
                <c:pt idx="56">
                  <c:v>1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81E-463F-A1AE-D536A2108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9755856"/>
        <c:axId val="1389762512"/>
      </c:scatterChart>
      <c:catAx>
        <c:axId val="1833971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980800"/>
        <c:crosses val="autoZero"/>
        <c:auto val="1"/>
        <c:lblAlgn val="ctr"/>
        <c:lblOffset val="100"/>
        <c:noMultiLvlLbl val="0"/>
      </c:catAx>
      <c:valAx>
        <c:axId val="183398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971232"/>
        <c:crosses val="autoZero"/>
        <c:crossBetween val="between"/>
      </c:valAx>
      <c:valAx>
        <c:axId val="138976251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389755856"/>
        <c:crosses val="max"/>
        <c:crossBetween val="midCat"/>
      </c:valAx>
      <c:valAx>
        <c:axId val="138975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9762512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99759405074366E-2"/>
          <c:y val="0.15319444444444447"/>
          <c:w val="0.87755796150481191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'Horz Raincloud True Cloud'!$G$9</c:f>
              <c:strCache>
                <c:ptCount val="1"/>
                <c:pt idx="0">
                  <c:v>Cloud 1: X-position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'Horz Raincloud True Cloud'!$E$10:$E$137</c:f>
              <c:numCache>
                <c:formatCode>General</c:formatCode>
                <c:ptCount val="128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11</c:v>
                </c:pt>
                <c:pt idx="12">
                  <c:v>12</c:v>
                </c:pt>
                <c:pt idx="13">
                  <c:v>14</c:v>
                </c:pt>
                <c:pt idx="14">
                  <c:v>15</c:v>
                </c:pt>
                <c:pt idx="15">
                  <c:v>15</c:v>
                </c:pt>
                <c:pt idx="16">
                  <c:v>17</c:v>
                </c:pt>
                <c:pt idx="17">
                  <c:v>17</c:v>
                </c:pt>
                <c:pt idx="18">
                  <c:v>20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23</c:v>
                </c:pt>
                <c:pt idx="23">
                  <c:v>23</c:v>
                </c:pt>
                <c:pt idx="24">
                  <c:v>23</c:v>
                </c:pt>
                <c:pt idx="25">
                  <c:v>24</c:v>
                </c:pt>
                <c:pt idx="26">
                  <c:v>24</c:v>
                </c:pt>
                <c:pt idx="27">
                  <c:v>25</c:v>
                </c:pt>
                <c:pt idx="28">
                  <c:v>26</c:v>
                </c:pt>
                <c:pt idx="29">
                  <c:v>26</c:v>
                </c:pt>
                <c:pt idx="30">
                  <c:v>27</c:v>
                </c:pt>
                <c:pt idx="31">
                  <c:v>29</c:v>
                </c:pt>
                <c:pt idx="32">
                  <c:v>29</c:v>
                </c:pt>
                <c:pt idx="33">
                  <c:v>29</c:v>
                </c:pt>
                <c:pt idx="34">
                  <c:v>29</c:v>
                </c:pt>
                <c:pt idx="35">
                  <c:v>30</c:v>
                </c:pt>
                <c:pt idx="36">
                  <c:v>32</c:v>
                </c:pt>
                <c:pt idx="37">
                  <c:v>33</c:v>
                </c:pt>
                <c:pt idx="38">
                  <c:v>34</c:v>
                </c:pt>
                <c:pt idx="39">
                  <c:v>34</c:v>
                </c:pt>
                <c:pt idx="40">
                  <c:v>34</c:v>
                </c:pt>
                <c:pt idx="41">
                  <c:v>34</c:v>
                </c:pt>
                <c:pt idx="42">
                  <c:v>36</c:v>
                </c:pt>
                <c:pt idx="43">
                  <c:v>37</c:v>
                </c:pt>
                <c:pt idx="44">
                  <c:v>39</c:v>
                </c:pt>
                <c:pt idx="45">
                  <c:v>39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40</c:v>
                </c:pt>
                <c:pt idx="50">
                  <c:v>40</c:v>
                </c:pt>
                <c:pt idx="51">
                  <c:v>41</c:v>
                </c:pt>
                <c:pt idx="52">
                  <c:v>41</c:v>
                </c:pt>
                <c:pt idx="53">
                  <c:v>41</c:v>
                </c:pt>
                <c:pt idx="54">
                  <c:v>41</c:v>
                </c:pt>
                <c:pt idx="55">
                  <c:v>42</c:v>
                </c:pt>
                <c:pt idx="56">
                  <c:v>42</c:v>
                </c:pt>
                <c:pt idx="57">
                  <c:v>42</c:v>
                </c:pt>
                <c:pt idx="58">
                  <c:v>43</c:v>
                </c:pt>
                <c:pt idx="59">
                  <c:v>45</c:v>
                </c:pt>
                <c:pt idx="60">
                  <c:v>46</c:v>
                </c:pt>
                <c:pt idx="61">
                  <c:v>47</c:v>
                </c:pt>
                <c:pt idx="62">
                  <c:v>47</c:v>
                </c:pt>
                <c:pt idx="63">
                  <c:v>48</c:v>
                </c:pt>
                <c:pt idx="64">
                  <c:v>51</c:v>
                </c:pt>
                <c:pt idx="65">
                  <c:v>51</c:v>
                </c:pt>
                <c:pt idx="66">
                  <c:v>52</c:v>
                </c:pt>
                <c:pt idx="67">
                  <c:v>52</c:v>
                </c:pt>
                <c:pt idx="68">
                  <c:v>52</c:v>
                </c:pt>
                <c:pt idx="69">
                  <c:v>53</c:v>
                </c:pt>
                <c:pt idx="70">
                  <c:v>54</c:v>
                </c:pt>
                <c:pt idx="71">
                  <c:v>56</c:v>
                </c:pt>
                <c:pt idx="72">
                  <c:v>57</c:v>
                </c:pt>
                <c:pt idx="73">
                  <c:v>57</c:v>
                </c:pt>
                <c:pt idx="74">
                  <c:v>60</c:v>
                </c:pt>
                <c:pt idx="75">
                  <c:v>61</c:v>
                </c:pt>
                <c:pt idx="76">
                  <c:v>62</c:v>
                </c:pt>
                <c:pt idx="77">
                  <c:v>63</c:v>
                </c:pt>
                <c:pt idx="78">
                  <c:v>63</c:v>
                </c:pt>
                <c:pt idx="79">
                  <c:v>63</c:v>
                </c:pt>
                <c:pt idx="80">
                  <c:v>66</c:v>
                </c:pt>
                <c:pt idx="81">
                  <c:v>67</c:v>
                </c:pt>
                <c:pt idx="82">
                  <c:v>67</c:v>
                </c:pt>
                <c:pt idx="83">
                  <c:v>68</c:v>
                </c:pt>
                <c:pt idx="84">
                  <c:v>68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71</c:v>
                </c:pt>
                <c:pt idx="89">
                  <c:v>72</c:v>
                </c:pt>
                <c:pt idx="90">
                  <c:v>72</c:v>
                </c:pt>
                <c:pt idx="91">
                  <c:v>72</c:v>
                </c:pt>
                <c:pt idx="92">
                  <c:v>75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77</c:v>
                </c:pt>
                <c:pt idx="97">
                  <c:v>77</c:v>
                </c:pt>
                <c:pt idx="98">
                  <c:v>79</c:v>
                </c:pt>
                <c:pt idx="99">
                  <c:v>80</c:v>
                </c:pt>
                <c:pt idx="100">
                  <c:v>81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83</c:v>
                </c:pt>
                <c:pt idx="105">
                  <c:v>84</c:v>
                </c:pt>
                <c:pt idx="106">
                  <c:v>85</c:v>
                </c:pt>
                <c:pt idx="107">
                  <c:v>85</c:v>
                </c:pt>
                <c:pt idx="108">
                  <c:v>86</c:v>
                </c:pt>
                <c:pt idx="109">
                  <c:v>87</c:v>
                </c:pt>
                <c:pt idx="110">
                  <c:v>87</c:v>
                </c:pt>
                <c:pt idx="111">
                  <c:v>88</c:v>
                </c:pt>
                <c:pt idx="112">
                  <c:v>88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90</c:v>
                </c:pt>
                <c:pt idx="117">
                  <c:v>90</c:v>
                </c:pt>
                <c:pt idx="118">
                  <c:v>91</c:v>
                </c:pt>
                <c:pt idx="119">
                  <c:v>94</c:v>
                </c:pt>
                <c:pt idx="120">
                  <c:v>95</c:v>
                </c:pt>
                <c:pt idx="121">
                  <c:v>95</c:v>
                </c:pt>
                <c:pt idx="122">
                  <c:v>98</c:v>
                </c:pt>
                <c:pt idx="123">
                  <c:v>99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</c:numCache>
            </c:numRef>
          </c:xVal>
          <c:yVal>
            <c:numRef>
              <c:f>'Horz Raincloud True Cloud'!$G$10:$G$137</c:f>
              <c:numCache>
                <c:formatCode>General</c:formatCode>
                <c:ptCount val="128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8</c:v>
                </c:pt>
                <c:pt idx="6">
                  <c:v>10</c:v>
                </c:pt>
                <c:pt idx="7">
                  <c:v>8</c:v>
                </c:pt>
                <c:pt idx="8">
                  <c:v>6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8</c:v>
                </c:pt>
                <c:pt idx="16">
                  <c:v>10</c:v>
                </c:pt>
                <c:pt idx="17">
                  <c:v>8</c:v>
                </c:pt>
                <c:pt idx="18">
                  <c:v>10</c:v>
                </c:pt>
                <c:pt idx="19">
                  <c:v>10</c:v>
                </c:pt>
                <c:pt idx="20">
                  <c:v>8</c:v>
                </c:pt>
                <c:pt idx="21">
                  <c:v>6</c:v>
                </c:pt>
                <c:pt idx="22">
                  <c:v>10</c:v>
                </c:pt>
                <c:pt idx="23">
                  <c:v>8</c:v>
                </c:pt>
                <c:pt idx="24">
                  <c:v>6</c:v>
                </c:pt>
                <c:pt idx="25">
                  <c:v>10</c:v>
                </c:pt>
                <c:pt idx="26">
                  <c:v>8</c:v>
                </c:pt>
                <c:pt idx="27">
                  <c:v>10</c:v>
                </c:pt>
                <c:pt idx="28">
                  <c:v>10</c:v>
                </c:pt>
                <c:pt idx="29">
                  <c:v>8</c:v>
                </c:pt>
                <c:pt idx="30">
                  <c:v>10</c:v>
                </c:pt>
                <c:pt idx="31">
                  <c:v>10</c:v>
                </c:pt>
                <c:pt idx="32">
                  <c:v>8</c:v>
                </c:pt>
                <c:pt idx="33">
                  <c:v>6</c:v>
                </c:pt>
                <c:pt idx="34">
                  <c:v>4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8</c:v>
                </c:pt>
                <c:pt idx="40">
                  <c:v>6</c:v>
                </c:pt>
                <c:pt idx="41">
                  <c:v>4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8</c:v>
                </c:pt>
                <c:pt idx="46">
                  <c:v>6</c:v>
                </c:pt>
                <c:pt idx="47">
                  <c:v>4</c:v>
                </c:pt>
                <c:pt idx="48">
                  <c:v>2</c:v>
                </c:pt>
                <c:pt idx="49">
                  <c:v>10</c:v>
                </c:pt>
                <c:pt idx="50">
                  <c:v>8</c:v>
                </c:pt>
                <c:pt idx="51">
                  <c:v>10</c:v>
                </c:pt>
                <c:pt idx="52">
                  <c:v>8</c:v>
                </c:pt>
                <c:pt idx="53">
                  <c:v>6</c:v>
                </c:pt>
                <c:pt idx="54">
                  <c:v>4</c:v>
                </c:pt>
                <c:pt idx="55">
                  <c:v>10</c:v>
                </c:pt>
                <c:pt idx="56">
                  <c:v>8</c:v>
                </c:pt>
                <c:pt idx="57">
                  <c:v>6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8</c:v>
                </c:pt>
                <c:pt idx="63">
                  <c:v>10</c:v>
                </c:pt>
                <c:pt idx="64">
                  <c:v>10</c:v>
                </c:pt>
                <c:pt idx="65">
                  <c:v>8</c:v>
                </c:pt>
                <c:pt idx="66">
                  <c:v>10</c:v>
                </c:pt>
                <c:pt idx="67">
                  <c:v>8</c:v>
                </c:pt>
                <c:pt idx="68">
                  <c:v>6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8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8</c:v>
                </c:pt>
                <c:pt idx="79">
                  <c:v>6</c:v>
                </c:pt>
                <c:pt idx="80">
                  <c:v>10</c:v>
                </c:pt>
                <c:pt idx="81">
                  <c:v>10</c:v>
                </c:pt>
                <c:pt idx="82">
                  <c:v>8</c:v>
                </c:pt>
                <c:pt idx="83">
                  <c:v>10</c:v>
                </c:pt>
                <c:pt idx="84">
                  <c:v>8</c:v>
                </c:pt>
                <c:pt idx="85">
                  <c:v>10</c:v>
                </c:pt>
                <c:pt idx="86">
                  <c:v>8</c:v>
                </c:pt>
                <c:pt idx="87">
                  <c:v>6</c:v>
                </c:pt>
                <c:pt idx="88">
                  <c:v>10</c:v>
                </c:pt>
                <c:pt idx="89">
                  <c:v>10</c:v>
                </c:pt>
                <c:pt idx="90">
                  <c:v>8</c:v>
                </c:pt>
                <c:pt idx="91">
                  <c:v>6</c:v>
                </c:pt>
                <c:pt idx="92">
                  <c:v>10</c:v>
                </c:pt>
                <c:pt idx="93">
                  <c:v>10</c:v>
                </c:pt>
                <c:pt idx="94">
                  <c:v>8</c:v>
                </c:pt>
                <c:pt idx="95">
                  <c:v>6</c:v>
                </c:pt>
                <c:pt idx="96">
                  <c:v>10</c:v>
                </c:pt>
                <c:pt idx="97">
                  <c:v>8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8</c:v>
                </c:pt>
                <c:pt idx="103">
                  <c:v>6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8</c:v>
                </c:pt>
                <c:pt idx="108">
                  <c:v>10</c:v>
                </c:pt>
                <c:pt idx="109">
                  <c:v>10</c:v>
                </c:pt>
                <c:pt idx="110">
                  <c:v>8</c:v>
                </c:pt>
                <c:pt idx="111">
                  <c:v>10</c:v>
                </c:pt>
                <c:pt idx="112">
                  <c:v>8</c:v>
                </c:pt>
                <c:pt idx="113">
                  <c:v>10</c:v>
                </c:pt>
                <c:pt idx="114">
                  <c:v>8</c:v>
                </c:pt>
                <c:pt idx="115">
                  <c:v>6</c:v>
                </c:pt>
                <c:pt idx="116">
                  <c:v>10</c:v>
                </c:pt>
                <c:pt idx="117">
                  <c:v>8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8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8</c:v>
                </c:pt>
                <c:pt idx="126">
                  <c:v>6</c:v>
                </c:pt>
                <c:pt idx="127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BB-4AE3-B210-7AC620507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971232"/>
        <c:axId val="1833980800"/>
      </c:scatterChart>
      <c:valAx>
        <c:axId val="183397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980800"/>
        <c:crosses val="autoZero"/>
        <c:crossBetween val="midCat"/>
      </c:valAx>
      <c:valAx>
        <c:axId val="1833980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971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Horizontal Raincloud</a:t>
            </a:r>
            <a:r>
              <a:rPr lang="en-AU" baseline="0"/>
              <a:t> Chart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7622137415479747E-2"/>
          <c:y val="0.17580154701876816"/>
          <c:w val="0.87702839283168488"/>
          <c:h val="0.72886235017527279"/>
        </c:manualLayout>
      </c:layout>
      <c:scatterChart>
        <c:scatterStyle val="smoothMarker"/>
        <c:varyColors val="0"/>
        <c:ser>
          <c:idx val="2"/>
          <c:order val="1"/>
          <c:tx>
            <c:strRef>
              <c:f>'Horz Raincloud True Cloud'!$L$22</c:f>
              <c:strCache>
                <c:ptCount val="1"/>
                <c:pt idx="0">
                  <c:v>Frequency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'Horz Raincloud True Cloud'!$I$23:$I$34</c:f>
              <c:numCache>
                <c:formatCode>_(#,##0_);[Red]\(#,##0\);_(\-_);</c:formatCode>
                <c:ptCount val="12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xVal>
          <c:yVal>
            <c:numRef>
              <c:f>'Horz Raincloud True Cloud'!$L$23:$L$34</c:f>
              <c:numCache>
                <c:formatCode>_(#,##0_);[Red]\(#,##0\);_(\-_);</c:formatCode>
                <c:ptCount val="12"/>
                <c:pt idx="0">
                  <c:v>11</c:v>
                </c:pt>
                <c:pt idx="1">
                  <c:v>14.4</c:v>
                </c:pt>
                <c:pt idx="2">
                  <c:v>13.8</c:v>
                </c:pt>
                <c:pt idx="3">
                  <c:v>13.2</c:v>
                </c:pt>
                <c:pt idx="4">
                  <c:v>13</c:v>
                </c:pt>
                <c:pt idx="5">
                  <c:v>14</c:v>
                </c:pt>
                <c:pt idx="6">
                  <c:v>13.8</c:v>
                </c:pt>
                <c:pt idx="7">
                  <c:v>14.4</c:v>
                </c:pt>
                <c:pt idx="8">
                  <c:v>12.4</c:v>
                </c:pt>
                <c:pt idx="9">
                  <c:v>13.2</c:v>
                </c:pt>
                <c:pt idx="10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36-45F8-A268-92D01196D517}"/>
            </c:ext>
          </c:extLst>
        </c:ser>
        <c:ser>
          <c:idx val="0"/>
          <c:order val="2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'Horz Raincloud True Cloud'!$J$18:$J$19</c:f>
              <c:numCache>
                <c:formatCode>_(#,##0_);[Red]\(#,##0\);_(\-_);</c:formatCode>
                <c:ptCount val="2"/>
                <c:pt idx="0">
                  <c:v>100</c:v>
                </c:pt>
                <c:pt idx="1">
                  <c:v>0</c:v>
                </c:pt>
              </c:numCache>
            </c:numRef>
          </c:xVal>
          <c:yVal>
            <c:numRef>
              <c:f>'Horz Raincloud True Cloud'!$K$18:$K$19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36-45F8-A268-92D01196D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352911"/>
        <c:axId val="916631231"/>
      </c:scatterChart>
      <c:scatterChart>
        <c:scatterStyle val="lineMarker"/>
        <c:varyColors val="0"/>
        <c:ser>
          <c:idx val="1"/>
          <c:order val="0"/>
          <c:tx>
            <c:strRef>
              <c:f>'Horz Raincloud True Cloud'!$G$9</c:f>
              <c:strCache>
                <c:ptCount val="1"/>
                <c:pt idx="0">
                  <c:v>Cloud 1: X-position</c:v>
                </c:pt>
              </c:strCache>
            </c:strRef>
          </c:tx>
          <c:spPr>
            <a:ln w="28575">
              <a:noFill/>
            </a:ln>
            <a:effectLst/>
          </c:spPr>
          <c:marker>
            <c:symbol val="circle"/>
            <c:size val="4"/>
          </c:marker>
          <c:xVal>
            <c:numRef>
              <c:f>'Horz Raincloud True Cloud'!$E$10:$E$137</c:f>
              <c:numCache>
                <c:formatCode>General</c:formatCode>
                <c:ptCount val="128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11</c:v>
                </c:pt>
                <c:pt idx="12">
                  <c:v>12</c:v>
                </c:pt>
                <c:pt idx="13">
                  <c:v>14</c:v>
                </c:pt>
                <c:pt idx="14">
                  <c:v>15</c:v>
                </c:pt>
                <c:pt idx="15">
                  <c:v>15</c:v>
                </c:pt>
                <c:pt idx="16">
                  <c:v>17</c:v>
                </c:pt>
                <c:pt idx="17">
                  <c:v>17</c:v>
                </c:pt>
                <c:pt idx="18">
                  <c:v>20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23</c:v>
                </c:pt>
                <c:pt idx="23">
                  <c:v>23</c:v>
                </c:pt>
                <c:pt idx="24">
                  <c:v>23</c:v>
                </c:pt>
                <c:pt idx="25">
                  <c:v>24</c:v>
                </c:pt>
                <c:pt idx="26">
                  <c:v>24</c:v>
                </c:pt>
                <c:pt idx="27">
                  <c:v>25</c:v>
                </c:pt>
                <c:pt idx="28">
                  <c:v>26</c:v>
                </c:pt>
                <c:pt idx="29">
                  <c:v>26</c:v>
                </c:pt>
                <c:pt idx="30">
                  <c:v>27</c:v>
                </c:pt>
                <c:pt idx="31">
                  <c:v>29</c:v>
                </c:pt>
                <c:pt idx="32">
                  <c:v>29</c:v>
                </c:pt>
                <c:pt idx="33">
                  <c:v>29</c:v>
                </c:pt>
                <c:pt idx="34">
                  <c:v>29</c:v>
                </c:pt>
                <c:pt idx="35">
                  <c:v>30</c:v>
                </c:pt>
                <c:pt idx="36">
                  <c:v>32</c:v>
                </c:pt>
                <c:pt idx="37">
                  <c:v>33</c:v>
                </c:pt>
                <c:pt idx="38">
                  <c:v>34</c:v>
                </c:pt>
                <c:pt idx="39">
                  <c:v>34</c:v>
                </c:pt>
                <c:pt idx="40">
                  <c:v>34</c:v>
                </c:pt>
                <c:pt idx="41">
                  <c:v>34</c:v>
                </c:pt>
                <c:pt idx="42">
                  <c:v>36</c:v>
                </c:pt>
                <c:pt idx="43">
                  <c:v>37</c:v>
                </c:pt>
                <c:pt idx="44">
                  <c:v>39</c:v>
                </c:pt>
                <c:pt idx="45">
                  <c:v>39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40</c:v>
                </c:pt>
                <c:pt idx="50">
                  <c:v>40</c:v>
                </c:pt>
                <c:pt idx="51">
                  <c:v>41</c:v>
                </c:pt>
                <c:pt idx="52">
                  <c:v>41</c:v>
                </c:pt>
                <c:pt idx="53">
                  <c:v>41</c:v>
                </c:pt>
                <c:pt idx="54">
                  <c:v>41</c:v>
                </c:pt>
                <c:pt idx="55">
                  <c:v>42</c:v>
                </c:pt>
                <c:pt idx="56">
                  <c:v>42</c:v>
                </c:pt>
                <c:pt idx="57">
                  <c:v>42</c:v>
                </c:pt>
                <c:pt idx="58">
                  <c:v>43</c:v>
                </c:pt>
                <c:pt idx="59">
                  <c:v>45</c:v>
                </c:pt>
                <c:pt idx="60">
                  <c:v>46</c:v>
                </c:pt>
                <c:pt idx="61">
                  <c:v>47</c:v>
                </c:pt>
                <c:pt idx="62">
                  <c:v>47</c:v>
                </c:pt>
                <c:pt idx="63">
                  <c:v>48</c:v>
                </c:pt>
                <c:pt idx="64">
                  <c:v>51</c:v>
                </c:pt>
                <c:pt idx="65">
                  <c:v>51</c:v>
                </c:pt>
                <c:pt idx="66">
                  <c:v>52</c:v>
                </c:pt>
                <c:pt idx="67">
                  <c:v>52</c:v>
                </c:pt>
                <c:pt idx="68">
                  <c:v>52</c:v>
                </c:pt>
                <c:pt idx="69">
                  <c:v>53</c:v>
                </c:pt>
                <c:pt idx="70">
                  <c:v>54</c:v>
                </c:pt>
                <c:pt idx="71">
                  <c:v>56</c:v>
                </c:pt>
                <c:pt idx="72">
                  <c:v>57</c:v>
                </c:pt>
                <c:pt idx="73">
                  <c:v>57</c:v>
                </c:pt>
                <c:pt idx="74">
                  <c:v>60</c:v>
                </c:pt>
                <c:pt idx="75">
                  <c:v>61</c:v>
                </c:pt>
                <c:pt idx="76">
                  <c:v>62</c:v>
                </c:pt>
                <c:pt idx="77">
                  <c:v>63</c:v>
                </c:pt>
                <c:pt idx="78">
                  <c:v>63</c:v>
                </c:pt>
                <c:pt idx="79">
                  <c:v>63</c:v>
                </c:pt>
                <c:pt idx="80">
                  <c:v>66</c:v>
                </c:pt>
                <c:pt idx="81">
                  <c:v>67</c:v>
                </c:pt>
                <c:pt idx="82">
                  <c:v>67</c:v>
                </c:pt>
                <c:pt idx="83">
                  <c:v>68</c:v>
                </c:pt>
                <c:pt idx="84">
                  <c:v>68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71</c:v>
                </c:pt>
                <c:pt idx="89">
                  <c:v>72</c:v>
                </c:pt>
                <c:pt idx="90">
                  <c:v>72</c:v>
                </c:pt>
                <c:pt idx="91">
                  <c:v>72</c:v>
                </c:pt>
                <c:pt idx="92">
                  <c:v>75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77</c:v>
                </c:pt>
                <c:pt idx="97">
                  <c:v>77</c:v>
                </c:pt>
                <c:pt idx="98">
                  <c:v>79</c:v>
                </c:pt>
                <c:pt idx="99">
                  <c:v>80</c:v>
                </c:pt>
                <c:pt idx="100">
                  <c:v>81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83</c:v>
                </c:pt>
                <c:pt idx="105">
                  <c:v>84</c:v>
                </c:pt>
                <c:pt idx="106">
                  <c:v>85</c:v>
                </c:pt>
                <c:pt idx="107">
                  <c:v>85</c:v>
                </c:pt>
                <c:pt idx="108">
                  <c:v>86</c:v>
                </c:pt>
                <c:pt idx="109">
                  <c:v>87</c:v>
                </c:pt>
                <c:pt idx="110">
                  <c:v>87</c:v>
                </c:pt>
                <c:pt idx="111">
                  <c:v>88</c:v>
                </c:pt>
                <c:pt idx="112">
                  <c:v>88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90</c:v>
                </c:pt>
                <c:pt idx="117">
                  <c:v>90</c:v>
                </c:pt>
                <c:pt idx="118">
                  <c:v>91</c:v>
                </c:pt>
                <c:pt idx="119">
                  <c:v>94</c:v>
                </c:pt>
                <c:pt idx="120">
                  <c:v>95</c:v>
                </c:pt>
                <c:pt idx="121">
                  <c:v>95</c:v>
                </c:pt>
                <c:pt idx="122">
                  <c:v>98</c:v>
                </c:pt>
                <c:pt idx="123">
                  <c:v>99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</c:numCache>
            </c:numRef>
          </c:xVal>
          <c:yVal>
            <c:numRef>
              <c:f>'Horz Raincloud True Cloud'!$G$10:$G$137</c:f>
              <c:numCache>
                <c:formatCode>General</c:formatCode>
                <c:ptCount val="128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8</c:v>
                </c:pt>
                <c:pt idx="6">
                  <c:v>10</c:v>
                </c:pt>
                <c:pt idx="7">
                  <c:v>8</c:v>
                </c:pt>
                <c:pt idx="8">
                  <c:v>6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8</c:v>
                </c:pt>
                <c:pt idx="16">
                  <c:v>10</c:v>
                </c:pt>
                <c:pt idx="17">
                  <c:v>8</c:v>
                </c:pt>
                <c:pt idx="18">
                  <c:v>10</c:v>
                </c:pt>
                <c:pt idx="19">
                  <c:v>10</c:v>
                </c:pt>
                <c:pt idx="20">
                  <c:v>8</c:v>
                </c:pt>
                <c:pt idx="21">
                  <c:v>6</c:v>
                </c:pt>
                <c:pt idx="22">
                  <c:v>10</c:v>
                </c:pt>
                <c:pt idx="23">
                  <c:v>8</c:v>
                </c:pt>
                <c:pt idx="24">
                  <c:v>6</c:v>
                </c:pt>
                <c:pt idx="25">
                  <c:v>10</c:v>
                </c:pt>
                <c:pt idx="26">
                  <c:v>8</c:v>
                </c:pt>
                <c:pt idx="27">
                  <c:v>10</c:v>
                </c:pt>
                <c:pt idx="28">
                  <c:v>10</c:v>
                </c:pt>
                <c:pt idx="29">
                  <c:v>8</c:v>
                </c:pt>
                <c:pt idx="30">
                  <c:v>10</c:v>
                </c:pt>
                <c:pt idx="31">
                  <c:v>10</c:v>
                </c:pt>
                <c:pt idx="32">
                  <c:v>8</c:v>
                </c:pt>
                <c:pt idx="33">
                  <c:v>6</c:v>
                </c:pt>
                <c:pt idx="34">
                  <c:v>4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8</c:v>
                </c:pt>
                <c:pt idx="40">
                  <c:v>6</c:v>
                </c:pt>
                <c:pt idx="41">
                  <c:v>4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8</c:v>
                </c:pt>
                <c:pt idx="46">
                  <c:v>6</c:v>
                </c:pt>
                <c:pt idx="47">
                  <c:v>4</c:v>
                </c:pt>
                <c:pt idx="48">
                  <c:v>2</c:v>
                </c:pt>
                <c:pt idx="49">
                  <c:v>10</c:v>
                </c:pt>
                <c:pt idx="50">
                  <c:v>8</c:v>
                </c:pt>
                <c:pt idx="51">
                  <c:v>10</c:v>
                </c:pt>
                <c:pt idx="52">
                  <c:v>8</c:v>
                </c:pt>
                <c:pt idx="53">
                  <c:v>6</c:v>
                </c:pt>
                <c:pt idx="54">
                  <c:v>4</c:v>
                </c:pt>
                <c:pt idx="55">
                  <c:v>10</c:v>
                </c:pt>
                <c:pt idx="56">
                  <c:v>8</c:v>
                </c:pt>
                <c:pt idx="57">
                  <c:v>6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8</c:v>
                </c:pt>
                <c:pt idx="63">
                  <c:v>10</c:v>
                </c:pt>
                <c:pt idx="64">
                  <c:v>10</c:v>
                </c:pt>
                <c:pt idx="65">
                  <c:v>8</c:v>
                </c:pt>
                <c:pt idx="66">
                  <c:v>10</c:v>
                </c:pt>
                <c:pt idx="67">
                  <c:v>8</c:v>
                </c:pt>
                <c:pt idx="68">
                  <c:v>6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8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8</c:v>
                </c:pt>
                <c:pt idx="79">
                  <c:v>6</c:v>
                </c:pt>
                <c:pt idx="80">
                  <c:v>10</c:v>
                </c:pt>
                <c:pt idx="81">
                  <c:v>10</c:v>
                </c:pt>
                <c:pt idx="82">
                  <c:v>8</c:v>
                </c:pt>
                <c:pt idx="83">
                  <c:v>10</c:v>
                </c:pt>
                <c:pt idx="84">
                  <c:v>8</c:v>
                </c:pt>
                <c:pt idx="85">
                  <c:v>10</c:v>
                </c:pt>
                <c:pt idx="86">
                  <c:v>8</c:v>
                </c:pt>
                <c:pt idx="87">
                  <c:v>6</c:v>
                </c:pt>
                <c:pt idx="88">
                  <c:v>10</c:v>
                </c:pt>
                <c:pt idx="89">
                  <c:v>10</c:v>
                </c:pt>
                <c:pt idx="90">
                  <c:v>8</c:v>
                </c:pt>
                <c:pt idx="91">
                  <c:v>6</c:v>
                </c:pt>
                <c:pt idx="92">
                  <c:v>10</c:v>
                </c:pt>
                <c:pt idx="93">
                  <c:v>10</c:v>
                </c:pt>
                <c:pt idx="94">
                  <c:v>8</c:v>
                </c:pt>
                <c:pt idx="95">
                  <c:v>6</c:v>
                </c:pt>
                <c:pt idx="96">
                  <c:v>10</c:v>
                </c:pt>
                <c:pt idx="97">
                  <c:v>8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8</c:v>
                </c:pt>
                <c:pt idx="103">
                  <c:v>6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8</c:v>
                </c:pt>
                <c:pt idx="108">
                  <c:v>10</c:v>
                </c:pt>
                <c:pt idx="109">
                  <c:v>10</c:v>
                </c:pt>
                <c:pt idx="110">
                  <c:v>8</c:v>
                </c:pt>
                <c:pt idx="111">
                  <c:v>10</c:v>
                </c:pt>
                <c:pt idx="112">
                  <c:v>8</c:v>
                </c:pt>
                <c:pt idx="113">
                  <c:v>10</c:v>
                </c:pt>
                <c:pt idx="114">
                  <c:v>8</c:v>
                </c:pt>
                <c:pt idx="115">
                  <c:v>6</c:v>
                </c:pt>
                <c:pt idx="116">
                  <c:v>10</c:v>
                </c:pt>
                <c:pt idx="117">
                  <c:v>8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8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8</c:v>
                </c:pt>
                <c:pt idx="126">
                  <c:v>6</c:v>
                </c:pt>
                <c:pt idx="127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36-45F8-A268-92D01196D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352911"/>
        <c:axId val="916631231"/>
      </c:scatterChart>
      <c:valAx>
        <c:axId val="716352911"/>
        <c:scaling>
          <c:orientation val="minMax"/>
        </c:scaling>
        <c:delete val="0"/>
        <c:axPos val="b"/>
        <c:numFmt formatCode="_(#,##0_);[Red]\(#,##0\);_(\-_)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6631231"/>
        <c:crosses val="autoZero"/>
        <c:crossBetween val="midCat"/>
      </c:valAx>
      <c:valAx>
        <c:axId val="916631231"/>
        <c:scaling>
          <c:orientation val="minMax"/>
        </c:scaling>
        <c:delete val="1"/>
        <c:axPos val="l"/>
        <c:numFmt formatCode="_(#,##0_);[Red]\(#,##0\);_(\-_);" sourceLinked="1"/>
        <c:majorTickMark val="none"/>
        <c:minorTickMark val="none"/>
        <c:tickLblPos val="nextTo"/>
        <c:crossAx val="716352911"/>
        <c:crosses val="autoZero"/>
        <c:crossBetween val="midCat"/>
      </c:valAx>
    </c:plotArea>
    <c:plotVisOnly val="1"/>
    <c:dispBlanksAs val="gap"/>
    <c:showDLblsOverMax val="0"/>
    <c:extLst/>
  </c:chart>
  <c:spPr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Cloud Base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'Horz Raincloud True Cloud'!$J$18:$J$19</c:f>
              <c:numCache>
                <c:formatCode>_(#,##0_);[Red]\(#,##0\);_(\-_);</c:formatCode>
                <c:ptCount val="2"/>
                <c:pt idx="0">
                  <c:v>100</c:v>
                </c:pt>
                <c:pt idx="1">
                  <c:v>0</c:v>
                </c:pt>
              </c:numCache>
            </c:numRef>
          </c:xVal>
          <c:yVal>
            <c:numRef>
              <c:f>'Horz Raincloud True Cloud'!$K$18:$K$19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D1-40A5-B89B-D29A77679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370191"/>
        <c:axId val="879058671"/>
      </c:scatterChart>
      <c:valAx>
        <c:axId val="716370191"/>
        <c:scaling>
          <c:orientation val="minMax"/>
        </c:scaling>
        <c:delete val="0"/>
        <c:axPos val="b"/>
        <c:numFmt formatCode="_(#,##0_);[Red]\(#,##0\);_(\-_)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9058671"/>
        <c:crosses val="autoZero"/>
        <c:crossBetween val="midCat"/>
      </c:valAx>
      <c:valAx>
        <c:axId val="879058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70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Stacked Bar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'Horizontal Raincloud - 3 Clouds'!$Q$22</c:f>
              <c:strCache>
                <c:ptCount val="1"/>
                <c:pt idx="0">
                  <c:v>Base 25th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'Horizontal Raincloud - 3 Clouds'!$R$21:$V$21</c:f>
              <c:strCache>
                <c:ptCount val="5"/>
                <c:pt idx="2">
                  <c:v>Stacked: Cloud 1</c:v>
                </c:pt>
                <c:pt idx="3">
                  <c:v>Stacked: Cloud 2</c:v>
                </c:pt>
                <c:pt idx="4">
                  <c:v>Stacked: Cloud 3</c:v>
                </c:pt>
              </c:strCache>
            </c:strRef>
          </c:cat>
          <c:val>
            <c:numRef>
              <c:f>'Horizontal Raincloud - 3 Clouds'!$R$22:$V$22</c:f>
              <c:numCache>
                <c:formatCode>General</c:formatCode>
                <c:ptCount val="5"/>
                <c:pt idx="2">
                  <c:v>20.5</c:v>
                </c:pt>
                <c:pt idx="3">
                  <c:v>123.75</c:v>
                </c:pt>
                <c:pt idx="4">
                  <c:v>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0B-43BA-829B-5F0637AC1C53}"/>
            </c:ext>
          </c:extLst>
        </c:ser>
        <c:ser>
          <c:idx val="1"/>
          <c:order val="1"/>
          <c:tx>
            <c:strRef>
              <c:f>'Horizontal Raincloud - 3 Clouds'!$Q$23</c:f>
              <c:strCache>
                <c:ptCount val="1"/>
                <c:pt idx="0">
                  <c:v>Bottom 25-50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'Horizontal Raincloud - 3 Clouds'!$R$21:$V$21</c:f>
              <c:strCache>
                <c:ptCount val="5"/>
                <c:pt idx="2">
                  <c:v>Stacked: Cloud 1</c:v>
                </c:pt>
                <c:pt idx="3">
                  <c:v>Stacked: Cloud 2</c:v>
                </c:pt>
                <c:pt idx="4">
                  <c:v>Stacked: Cloud 3</c:v>
                </c:pt>
              </c:strCache>
            </c:strRef>
          </c:cat>
          <c:val>
            <c:numRef>
              <c:f>'Horizontal Raincloud - 3 Clouds'!$R$23:$V$23</c:f>
              <c:numCache>
                <c:formatCode>General</c:formatCode>
                <c:ptCount val="5"/>
                <c:pt idx="2">
                  <c:v>23</c:v>
                </c:pt>
                <c:pt idx="3">
                  <c:v>31.25</c:v>
                </c:pt>
                <c:pt idx="4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0B-43BA-829B-5F0637AC1C53}"/>
            </c:ext>
          </c:extLst>
        </c:ser>
        <c:ser>
          <c:idx val="2"/>
          <c:order val="2"/>
          <c:tx>
            <c:strRef>
              <c:f>'Horizontal Raincloud - 3 Clouds'!$Q$24</c:f>
              <c:strCache>
                <c:ptCount val="1"/>
                <c:pt idx="0">
                  <c:v>Top 50-75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'Horizontal Raincloud - 3 Clouds'!$R$21:$V$21</c:f>
              <c:strCache>
                <c:ptCount val="5"/>
                <c:pt idx="2">
                  <c:v>Stacked: Cloud 1</c:v>
                </c:pt>
                <c:pt idx="3">
                  <c:v>Stacked: Cloud 2</c:v>
                </c:pt>
                <c:pt idx="4">
                  <c:v>Stacked: Cloud 3</c:v>
                </c:pt>
              </c:strCache>
            </c:strRef>
          </c:cat>
          <c:val>
            <c:numRef>
              <c:f>'Horizontal Raincloud - 3 Clouds'!$R$24:$V$24</c:f>
              <c:numCache>
                <c:formatCode>General</c:formatCode>
                <c:ptCount val="5"/>
                <c:pt idx="2">
                  <c:v>21.25</c:v>
                </c:pt>
                <c:pt idx="3">
                  <c:v>27</c:v>
                </c:pt>
                <c:pt idx="4">
                  <c:v>22.5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0B-43BA-829B-5F0637AC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6765616"/>
        <c:axId val="1746779344"/>
      </c:barChart>
      <c:catAx>
        <c:axId val="1746765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779344"/>
        <c:crosses val="autoZero"/>
        <c:auto val="1"/>
        <c:lblAlgn val="ctr"/>
        <c:lblOffset val="100"/>
        <c:noMultiLvlLbl val="0"/>
      </c:catAx>
      <c:valAx>
        <c:axId val="174677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765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'Horizontal Raincloud - 3 Clouds'!$M$9</c:f>
              <c:strCache>
                <c:ptCount val="1"/>
                <c:pt idx="0">
                  <c:v>Cloud 1: X-position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'Horizontal Raincloud - 3 Clouds'!$G$10:$G$69</c:f>
              <c:numCache>
                <c:formatCode>General</c:formatCode>
                <c:ptCount val="60"/>
                <c:pt idx="0">
                  <c:v>1</c:v>
                </c:pt>
                <c:pt idx="1">
                  <c:v>8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18</c:v>
                </c:pt>
                <c:pt idx="13">
                  <c:v>18</c:v>
                </c:pt>
                <c:pt idx="14">
                  <c:v>19</c:v>
                </c:pt>
                <c:pt idx="15">
                  <c:v>21</c:v>
                </c:pt>
                <c:pt idx="16">
                  <c:v>27</c:v>
                </c:pt>
                <c:pt idx="17">
                  <c:v>27</c:v>
                </c:pt>
                <c:pt idx="18">
                  <c:v>28</c:v>
                </c:pt>
                <c:pt idx="19">
                  <c:v>28</c:v>
                </c:pt>
                <c:pt idx="20">
                  <c:v>29</c:v>
                </c:pt>
                <c:pt idx="21">
                  <c:v>29</c:v>
                </c:pt>
                <c:pt idx="22">
                  <c:v>31</c:v>
                </c:pt>
                <c:pt idx="23">
                  <c:v>31</c:v>
                </c:pt>
                <c:pt idx="24">
                  <c:v>31</c:v>
                </c:pt>
                <c:pt idx="25">
                  <c:v>33</c:v>
                </c:pt>
                <c:pt idx="26">
                  <c:v>34</c:v>
                </c:pt>
                <c:pt idx="27">
                  <c:v>38</c:v>
                </c:pt>
                <c:pt idx="28">
                  <c:v>39</c:v>
                </c:pt>
                <c:pt idx="29">
                  <c:v>43</c:v>
                </c:pt>
                <c:pt idx="30">
                  <c:v>44</c:v>
                </c:pt>
                <c:pt idx="31">
                  <c:v>48</c:v>
                </c:pt>
                <c:pt idx="32">
                  <c:v>48</c:v>
                </c:pt>
                <c:pt idx="33">
                  <c:v>50</c:v>
                </c:pt>
                <c:pt idx="34">
                  <c:v>51</c:v>
                </c:pt>
                <c:pt idx="35">
                  <c:v>52</c:v>
                </c:pt>
                <c:pt idx="36">
                  <c:v>53</c:v>
                </c:pt>
                <c:pt idx="37">
                  <c:v>53</c:v>
                </c:pt>
                <c:pt idx="38">
                  <c:v>56</c:v>
                </c:pt>
                <c:pt idx="39">
                  <c:v>56</c:v>
                </c:pt>
                <c:pt idx="40">
                  <c:v>60</c:v>
                </c:pt>
                <c:pt idx="41">
                  <c:v>60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67</c:v>
                </c:pt>
                <c:pt idx="46">
                  <c:v>67</c:v>
                </c:pt>
                <c:pt idx="47">
                  <c:v>68</c:v>
                </c:pt>
                <c:pt idx="48">
                  <c:v>68</c:v>
                </c:pt>
                <c:pt idx="49">
                  <c:v>68</c:v>
                </c:pt>
                <c:pt idx="50">
                  <c:v>70</c:v>
                </c:pt>
                <c:pt idx="51">
                  <c:v>73</c:v>
                </c:pt>
                <c:pt idx="52">
                  <c:v>78</c:v>
                </c:pt>
                <c:pt idx="53">
                  <c:v>90</c:v>
                </c:pt>
                <c:pt idx="54">
                  <c:v>90</c:v>
                </c:pt>
                <c:pt idx="55">
                  <c:v>92</c:v>
                </c:pt>
                <c:pt idx="56">
                  <c:v>92</c:v>
                </c:pt>
                <c:pt idx="57">
                  <c:v>93</c:v>
                </c:pt>
                <c:pt idx="58">
                  <c:v>95</c:v>
                </c:pt>
                <c:pt idx="59">
                  <c:v>99</c:v>
                </c:pt>
              </c:numCache>
            </c:numRef>
          </c:xVal>
          <c:yVal>
            <c:numRef>
              <c:f>'Horizontal Raincloud - 3 Clouds'!$M$10:$M$69</c:f>
              <c:numCache>
                <c:formatCode>General</c:formatCode>
                <c:ptCount val="60"/>
                <c:pt idx="0">
                  <c:v>2</c:v>
                </c:pt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1.5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1.5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1.5</c:v>
                </c:pt>
                <c:pt idx="18">
                  <c:v>2</c:v>
                </c:pt>
                <c:pt idx="19">
                  <c:v>1.5</c:v>
                </c:pt>
                <c:pt idx="20">
                  <c:v>2</c:v>
                </c:pt>
                <c:pt idx="21">
                  <c:v>1.5</c:v>
                </c:pt>
                <c:pt idx="22">
                  <c:v>2</c:v>
                </c:pt>
                <c:pt idx="23">
                  <c:v>1.5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1.5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1.5</c:v>
                </c:pt>
                <c:pt idx="38">
                  <c:v>2</c:v>
                </c:pt>
                <c:pt idx="39">
                  <c:v>1.5</c:v>
                </c:pt>
                <c:pt idx="40">
                  <c:v>2</c:v>
                </c:pt>
                <c:pt idx="41">
                  <c:v>1.5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1.5</c:v>
                </c:pt>
                <c:pt idx="47">
                  <c:v>2</c:v>
                </c:pt>
                <c:pt idx="48">
                  <c:v>1.5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1.5</c:v>
                </c:pt>
                <c:pt idx="55">
                  <c:v>2</c:v>
                </c:pt>
                <c:pt idx="56">
                  <c:v>1.5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52-4EBA-BDC9-E14471FF8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698784"/>
        <c:axId val="1482698368"/>
      </c:scatterChart>
      <c:valAx>
        <c:axId val="148269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698368"/>
        <c:crosses val="autoZero"/>
        <c:crossBetween val="midCat"/>
      </c:valAx>
      <c:valAx>
        <c:axId val="14826983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698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'Horizontal Raincloud - 3 Clouds'!$N$9</c:f>
              <c:strCache>
                <c:ptCount val="1"/>
                <c:pt idx="0">
                  <c:v>Cloud 2: X-position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'Horizontal Raincloud - 3 Clouds'!$H$10:$H$69</c:f>
              <c:numCache>
                <c:formatCode>General</c:formatCode>
                <c:ptCount val="60"/>
                <c:pt idx="0">
                  <c:v>102</c:v>
                </c:pt>
                <c:pt idx="1">
                  <c:v>105</c:v>
                </c:pt>
                <c:pt idx="2">
                  <c:v>105</c:v>
                </c:pt>
                <c:pt idx="3">
                  <c:v>106</c:v>
                </c:pt>
                <c:pt idx="4">
                  <c:v>107</c:v>
                </c:pt>
                <c:pt idx="5">
                  <c:v>111</c:v>
                </c:pt>
                <c:pt idx="6">
                  <c:v>113</c:v>
                </c:pt>
                <c:pt idx="7">
                  <c:v>116</c:v>
                </c:pt>
                <c:pt idx="8">
                  <c:v>116</c:v>
                </c:pt>
                <c:pt idx="9">
                  <c:v>117</c:v>
                </c:pt>
                <c:pt idx="10">
                  <c:v>118</c:v>
                </c:pt>
                <c:pt idx="11">
                  <c:v>118</c:v>
                </c:pt>
                <c:pt idx="12">
                  <c:v>119</c:v>
                </c:pt>
                <c:pt idx="13">
                  <c:v>121</c:v>
                </c:pt>
                <c:pt idx="14">
                  <c:v>123</c:v>
                </c:pt>
                <c:pt idx="15">
                  <c:v>124</c:v>
                </c:pt>
                <c:pt idx="16">
                  <c:v>125</c:v>
                </c:pt>
                <c:pt idx="17">
                  <c:v>126</c:v>
                </c:pt>
                <c:pt idx="18">
                  <c:v>127</c:v>
                </c:pt>
                <c:pt idx="19">
                  <c:v>128</c:v>
                </c:pt>
                <c:pt idx="20">
                  <c:v>138</c:v>
                </c:pt>
                <c:pt idx="21">
                  <c:v>143</c:v>
                </c:pt>
                <c:pt idx="22">
                  <c:v>144</c:v>
                </c:pt>
                <c:pt idx="23">
                  <c:v>146</c:v>
                </c:pt>
                <c:pt idx="24">
                  <c:v>147</c:v>
                </c:pt>
                <c:pt idx="25">
                  <c:v>149</c:v>
                </c:pt>
                <c:pt idx="26">
                  <c:v>149</c:v>
                </c:pt>
                <c:pt idx="27">
                  <c:v>150</c:v>
                </c:pt>
                <c:pt idx="28">
                  <c:v>153</c:v>
                </c:pt>
                <c:pt idx="29">
                  <c:v>154</c:v>
                </c:pt>
                <c:pt idx="30">
                  <c:v>156</c:v>
                </c:pt>
                <c:pt idx="31">
                  <c:v>160</c:v>
                </c:pt>
                <c:pt idx="32">
                  <c:v>160</c:v>
                </c:pt>
                <c:pt idx="33">
                  <c:v>164</c:v>
                </c:pt>
                <c:pt idx="34">
                  <c:v>167</c:v>
                </c:pt>
                <c:pt idx="35">
                  <c:v>168</c:v>
                </c:pt>
                <c:pt idx="36">
                  <c:v>172</c:v>
                </c:pt>
                <c:pt idx="37">
                  <c:v>173</c:v>
                </c:pt>
                <c:pt idx="38">
                  <c:v>174</c:v>
                </c:pt>
                <c:pt idx="39">
                  <c:v>175</c:v>
                </c:pt>
                <c:pt idx="40">
                  <c:v>177</c:v>
                </c:pt>
                <c:pt idx="41">
                  <c:v>179</c:v>
                </c:pt>
                <c:pt idx="42">
                  <c:v>181</c:v>
                </c:pt>
                <c:pt idx="43">
                  <c:v>182</c:v>
                </c:pt>
                <c:pt idx="44">
                  <c:v>182</c:v>
                </c:pt>
                <c:pt idx="45">
                  <c:v>182</c:v>
                </c:pt>
                <c:pt idx="46">
                  <c:v>184</c:v>
                </c:pt>
                <c:pt idx="47">
                  <c:v>186</c:v>
                </c:pt>
                <c:pt idx="48">
                  <c:v>189</c:v>
                </c:pt>
                <c:pt idx="49">
                  <c:v>190</c:v>
                </c:pt>
                <c:pt idx="50">
                  <c:v>191</c:v>
                </c:pt>
                <c:pt idx="51">
                  <c:v>191</c:v>
                </c:pt>
                <c:pt idx="52">
                  <c:v>191</c:v>
                </c:pt>
                <c:pt idx="53">
                  <c:v>191</c:v>
                </c:pt>
                <c:pt idx="54">
                  <c:v>192</c:v>
                </c:pt>
                <c:pt idx="55">
                  <c:v>196</c:v>
                </c:pt>
                <c:pt idx="56">
                  <c:v>196</c:v>
                </c:pt>
                <c:pt idx="57">
                  <c:v>197</c:v>
                </c:pt>
                <c:pt idx="58">
                  <c:v>198</c:v>
                </c:pt>
                <c:pt idx="59">
                  <c:v>200</c:v>
                </c:pt>
              </c:numCache>
            </c:numRef>
          </c:xVal>
          <c:yVal>
            <c:numRef>
              <c:f>'Horizontal Raincloud - 3 Clouds'!$N$10:$N$69</c:f>
              <c:numCache>
                <c:formatCode>General</c:formatCode>
                <c:ptCount val="60"/>
                <c:pt idx="0">
                  <c:v>3</c:v>
                </c:pt>
                <c:pt idx="1">
                  <c:v>3</c:v>
                </c:pt>
                <c:pt idx="2">
                  <c:v>2.5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2.5</c:v>
                </c:pt>
                <c:pt idx="9">
                  <c:v>3</c:v>
                </c:pt>
                <c:pt idx="10">
                  <c:v>3</c:v>
                </c:pt>
                <c:pt idx="11">
                  <c:v>2.5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2.5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2.5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2.5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2.5</c:v>
                </c:pt>
                <c:pt idx="52">
                  <c:v>2</c:v>
                </c:pt>
                <c:pt idx="53">
                  <c:v>1.5</c:v>
                </c:pt>
                <c:pt idx="54">
                  <c:v>3</c:v>
                </c:pt>
                <c:pt idx="55">
                  <c:v>3</c:v>
                </c:pt>
                <c:pt idx="56">
                  <c:v>2.5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A9-4253-9360-CFD9E6815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702112"/>
        <c:axId val="1482680064"/>
      </c:scatterChart>
      <c:valAx>
        <c:axId val="148270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680064"/>
        <c:crosses val="autoZero"/>
        <c:crossBetween val="midCat"/>
      </c:valAx>
      <c:valAx>
        <c:axId val="1482680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70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'Horizontal Raincloud - 3 Clouds'!$O$9</c:f>
              <c:strCache>
                <c:ptCount val="1"/>
                <c:pt idx="0">
                  <c:v>Cloud 3: X-position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'Horizontal Raincloud - 3 Clouds'!$I$10:$I$69</c:f>
              <c:numCache>
                <c:formatCode>General</c:formatCode>
                <c:ptCount val="60"/>
                <c:pt idx="0">
                  <c:v>204</c:v>
                </c:pt>
                <c:pt idx="1">
                  <c:v>206</c:v>
                </c:pt>
                <c:pt idx="2">
                  <c:v>206</c:v>
                </c:pt>
                <c:pt idx="3">
                  <c:v>206</c:v>
                </c:pt>
                <c:pt idx="4">
                  <c:v>208</c:v>
                </c:pt>
                <c:pt idx="5">
                  <c:v>209</c:v>
                </c:pt>
                <c:pt idx="6">
                  <c:v>211</c:v>
                </c:pt>
                <c:pt idx="7">
                  <c:v>211</c:v>
                </c:pt>
                <c:pt idx="8">
                  <c:v>213</c:v>
                </c:pt>
                <c:pt idx="9">
                  <c:v>216</c:v>
                </c:pt>
                <c:pt idx="10">
                  <c:v>216</c:v>
                </c:pt>
                <c:pt idx="11">
                  <c:v>217</c:v>
                </c:pt>
                <c:pt idx="12">
                  <c:v>217</c:v>
                </c:pt>
                <c:pt idx="13">
                  <c:v>218</c:v>
                </c:pt>
                <c:pt idx="14">
                  <c:v>223</c:v>
                </c:pt>
                <c:pt idx="15">
                  <c:v>223</c:v>
                </c:pt>
                <c:pt idx="16">
                  <c:v>224</c:v>
                </c:pt>
                <c:pt idx="17">
                  <c:v>225</c:v>
                </c:pt>
                <c:pt idx="18">
                  <c:v>225</c:v>
                </c:pt>
                <c:pt idx="19">
                  <c:v>226</c:v>
                </c:pt>
                <c:pt idx="20">
                  <c:v>226</c:v>
                </c:pt>
                <c:pt idx="21">
                  <c:v>229</c:v>
                </c:pt>
                <c:pt idx="22">
                  <c:v>230</c:v>
                </c:pt>
                <c:pt idx="23">
                  <c:v>237</c:v>
                </c:pt>
                <c:pt idx="24">
                  <c:v>240</c:v>
                </c:pt>
                <c:pt idx="25">
                  <c:v>240</c:v>
                </c:pt>
                <c:pt idx="26">
                  <c:v>241</c:v>
                </c:pt>
                <c:pt idx="27">
                  <c:v>242</c:v>
                </c:pt>
                <c:pt idx="28">
                  <c:v>248</c:v>
                </c:pt>
                <c:pt idx="29">
                  <c:v>250</c:v>
                </c:pt>
                <c:pt idx="30">
                  <c:v>250</c:v>
                </c:pt>
                <c:pt idx="31">
                  <c:v>251</c:v>
                </c:pt>
                <c:pt idx="32">
                  <c:v>252</c:v>
                </c:pt>
                <c:pt idx="33">
                  <c:v>252</c:v>
                </c:pt>
                <c:pt idx="34">
                  <c:v>253</c:v>
                </c:pt>
                <c:pt idx="35">
                  <c:v>253</c:v>
                </c:pt>
                <c:pt idx="36">
                  <c:v>254</c:v>
                </c:pt>
                <c:pt idx="37">
                  <c:v>257</c:v>
                </c:pt>
                <c:pt idx="38">
                  <c:v>257</c:v>
                </c:pt>
                <c:pt idx="39">
                  <c:v>259</c:v>
                </c:pt>
                <c:pt idx="40">
                  <c:v>262</c:v>
                </c:pt>
                <c:pt idx="41">
                  <c:v>262</c:v>
                </c:pt>
                <c:pt idx="42">
                  <c:v>265</c:v>
                </c:pt>
                <c:pt idx="43">
                  <c:v>265</c:v>
                </c:pt>
                <c:pt idx="44">
                  <c:v>272</c:v>
                </c:pt>
                <c:pt idx="45">
                  <c:v>274</c:v>
                </c:pt>
                <c:pt idx="46">
                  <c:v>280</c:v>
                </c:pt>
                <c:pt idx="47">
                  <c:v>283</c:v>
                </c:pt>
                <c:pt idx="48">
                  <c:v>283</c:v>
                </c:pt>
                <c:pt idx="49">
                  <c:v>285</c:v>
                </c:pt>
                <c:pt idx="50">
                  <c:v>290</c:v>
                </c:pt>
                <c:pt idx="51">
                  <c:v>290</c:v>
                </c:pt>
                <c:pt idx="52">
                  <c:v>290</c:v>
                </c:pt>
                <c:pt idx="53">
                  <c:v>290</c:v>
                </c:pt>
                <c:pt idx="54">
                  <c:v>292</c:v>
                </c:pt>
                <c:pt idx="55">
                  <c:v>293</c:v>
                </c:pt>
                <c:pt idx="56">
                  <c:v>295</c:v>
                </c:pt>
                <c:pt idx="57">
                  <c:v>295</c:v>
                </c:pt>
                <c:pt idx="58">
                  <c:v>297</c:v>
                </c:pt>
                <c:pt idx="59">
                  <c:v>298</c:v>
                </c:pt>
              </c:numCache>
            </c:numRef>
          </c:xVal>
          <c:yVal>
            <c:numRef>
              <c:f>'Horizontal Raincloud - 3 Clouds'!$O$10:$O$69</c:f>
              <c:numCache>
                <c:formatCode>General</c:formatCode>
                <c:ptCount val="60"/>
                <c:pt idx="0">
                  <c:v>4</c:v>
                </c:pt>
                <c:pt idx="1">
                  <c:v>4</c:v>
                </c:pt>
                <c:pt idx="2">
                  <c:v>3.5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3.5</c:v>
                </c:pt>
                <c:pt idx="8">
                  <c:v>4</c:v>
                </c:pt>
                <c:pt idx="9">
                  <c:v>4</c:v>
                </c:pt>
                <c:pt idx="10">
                  <c:v>3.5</c:v>
                </c:pt>
                <c:pt idx="11">
                  <c:v>4</c:v>
                </c:pt>
                <c:pt idx="12">
                  <c:v>3.5</c:v>
                </c:pt>
                <c:pt idx="13">
                  <c:v>4</c:v>
                </c:pt>
                <c:pt idx="14">
                  <c:v>4</c:v>
                </c:pt>
                <c:pt idx="15">
                  <c:v>3.5</c:v>
                </c:pt>
                <c:pt idx="16">
                  <c:v>4</c:v>
                </c:pt>
                <c:pt idx="17">
                  <c:v>4</c:v>
                </c:pt>
                <c:pt idx="18">
                  <c:v>3.5</c:v>
                </c:pt>
                <c:pt idx="19">
                  <c:v>4</c:v>
                </c:pt>
                <c:pt idx="20">
                  <c:v>3.5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3.5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3.5</c:v>
                </c:pt>
                <c:pt idx="31">
                  <c:v>4</c:v>
                </c:pt>
                <c:pt idx="32">
                  <c:v>4</c:v>
                </c:pt>
                <c:pt idx="33">
                  <c:v>3.5</c:v>
                </c:pt>
                <c:pt idx="34">
                  <c:v>4</c:v>
                </c:pt>
                <c:pt idx="35">
                  <c:v>3.5</c:v>
                </c:pt>
                <c:pt idx="36">
                  <c:v>4</c:v>
                </c:pt>
                <c:pt idx="37">
                  <c:v>4</c:v>
                </c:pt>
                <c:pt idx="38">
                  <c:v>3.5</c:v>
                </c:pt>
                <c:pt idx="39">
                  <c:v>4</c:v>
                </c:pt>
                <c:pt idx="40">
                  <c:v>4</c:v>
                </c:pt>
                <c:pt idx="41">
                  <c:v>3.5</c:v>
                </c:pt>
                <c:pt idx="42">
                  <c:v>4</c:v>
                </c:pt>
                <c:pt idx="43">
                  <c:v>3.5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3.5</c:v>
                </c:pt>
                <c:pt idx="49">
                  <c:v>4</c:v>
                </c:pt>
                <c:pt idx="50">
                  <c:v>4</c:v>
                </c:pt>
                <c:pt idx="51">
                  <c:v>3.5</c:v>
                </c:pt>
                <c:pt idx="52">
                  <c:v>3</c:v>
                </c:pt>
                <c:pt idx="53">
                  <c:v>2.5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3.5</c:v>
                </c:pt>
                <c:pt idx="58">
                  <c:v>4</c:v>
                </c:pt>
                <c:pt idx="59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9-4B71-BB03-F2644F49D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668000"/>
        <c:axId val="1482665504"/>
      </c:scatterChart>
      <c:valAx>
        <c:axId val="148266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665504"/>
        <c:crosses val="autoZero"/>
        <c:crossBetween val="midCat"/>
      </c:valAx>
      <c:valAx>
        <c:axId val="14826655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668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'Horizontal Raincloud - 3 Clouds'!$M$9</c:f>
              <c:strCache>
                <c:ptCount val="1"/>
                <c:pt idx="0">
                  <c:v>Cloud 1: X-position</c:v>
                </c:pt>
              </c:strCache>
            </c:strRef>
          </c:tx>
          <c:spPr>
            <a:ln w="28575">
              <a:noFill/>
            </a:ln>
          </c:spPr>
          <c:xVal>
            <c:numRef>
              <c:f>'Horizontal Raincloud - 3 Clouds'!$G$10:$G$69</c:f>
              <c:numCache>
                <c:formatCode>General</c:formatCode>
                <c:ptCount val="60"/>
                <c:pt idx="0">
                  <c:v>1</c:v>
                </c:pt>
                <c:pt idx="1">
                  <c:v>8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18</c:v>
                </c:pt>
                <c:pt idx="13">
                  <c:v>18</c:v>
                </c:pt>
                <c:pt idx="14">
                  <c:v>19</c:v>
                </c:pt>
                <c:pt idx="15">
                  <c:v>21</c:v>
                </c:pt>
                <c:pt idx="16">
                  <c:v>27</c:v>
                </c:pt>
                <c:pt idx="17">
                  <c:v>27</c:v>
                </c:pt>
                <c:pt idx="18">
                  <c:v>28</c:v>
                </c:pt>
                <c:pt idx="19">
                  <c:v>28</c:v>
                </c:pt>
                <c:pt idx="20">
                  <c:v>29</c:v>
                </c:pt>
                <c:pt idx="21">
                  <c:v>29</c:v>
                </c:pt>
                <c:pt idx="22">
                  <c:v>31</c:v>
                </c:pt>
                <c:pt idx="23">
                  <c:v>31</c:v>
                </c:pt>
                <c:pt idx="24">
                  <c:v>31</c:v>
                </c:pt>
                <c:pt idx="25">
                  <c:v>33</c:v>
                </c:pt>
                <c:pt idx="26">
                  <c:v>34</c:v>
                </c:pt>
                <c:pt idx="27">
                  <c:v>38</c:v>
                </c:pt>
                <c:pt idx="28">
                  <c:v>39</c:v>
                </c:pt>
                <c:pt idx="29">
                  <c:v>43</c:v>
                </c:pt>
                <c:pt idx="30">
                  <c:v>44</c:v>
                </c:pt>
                <c:pt idx="31">
                  <c:v>48</c:v>
                </c:pt>
                <c:pt idx="32">
                  <c:v>48</c:v>
                </c:pt>
                <c:pt idx="33">
                  <c:v>50</c:v>
                </c:pt>
                <c:pt idx="34">
                  <c:v>51</c:v>
                </c:pt>
                <c:pt idx="35">
                  <c:v>52</c:v>
                </c:pt>
                <c:pt idx="36">
                  <c:v>53</c:v>
                </c:pt>
                <c:pt idx="37">
                  <c:v>53</c:v>
                </c:pt>
                <c:pt idx="38">
                  <c:v>56</c:v>
                </c:pt>
                <c:pt idx="39">
                  <c:v>56</c:v>
                </c:pt>
                <c:pt idx="40">
                  <c:v>60</c:v>
                </c:pt>
                <c:pt idx="41">
                  <c:v>60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67</c:v>
                </c:pt>
                <c:pt idx="46">
                  <c:v>67</c:v>
                </c:pt>
                <c:pt idx="47">
                  <c:v>68</c:v>
                </c:pt>
                <c:pt idx="48">
                  <c:v>68</c:v>
                </c:pt>
                <c:pt idx="49">
                  <c:v>68</c:v>
                </c:pt>
                <c:pt idx="50">
                  <c:v>70</c:v>
                </c:pt>
                <c:pt idx="51">
                  <c:v>73</c:v>
                </c:pt>
                <c:pt idx="52">
                  <c:v>78</c:v>
                </c:pt>
                <c:pt idx="53">
                  <c:v>90</c:v>
                </c:pt>
                <c:pt idx="54">
                  <c:v>90</c:v>
                </c:pt>
                <c:pt idx="55">
                  <c:v>92</c:v>
                </c:pt>
                <c:pt idx="56">
                  <c:v>92</c:v>
                </c:pt>
                <c:pt idx="57">
                  <c:v>93</c:v>
                </c:pt>
                <c:pt idx="58">
                  <c:v>95</c:v>
                </c:pt>
                <c:pt idx="59">
                  <c:v>99</c:v>
                </c:pt>
              </c:numCache>
            </c:numRef>
          </c:xVal>
          <c:yVal>
            <c:numRef>
              <c:f>'Horizontal Raincloud - 3 Clouds'!$M$10:$M$69</c:f>
              <c:numCache>
                <c:formatCode>General</c:formatCode>
                <c:ptCount val="60"/>
                <c:pt idx="0">
                  <c:v>2</c:v>
                </c:pt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1.5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1.5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1.5</c:v>
                </c:pt>
                <c:pt idx="18">
                  <c:v>2</c:v>
                </c:pt>
                <c:pt idx="19">
                  <c:v>1.5</c:v>
                </c:pt>
                <c:pt idx="20">
                  <c:v>2</c:v>
                </c:pt>
                <c:pt idx="21">
                  <c:v>1.5</c:v>
                </c:pt>
                <c:pt idx="22">
                  <c:v>2</c:v>
                </c:pt>
                <c:pt idx="23">
                  <c:v>1.5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1.5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1.5</c:v>
                </c:pt>
                <c:pt idx="38">
                  <c:v>2</c:v>
                </c:pt>
                <c:pt idx="39">
                  <c:v>1.5</c:v>
                </c:pt>
                <c:pt idx="40">
                  <c:v>2</c:v>
                </c:pt>
                <c:pt idx="41">
                  <c:v>1.5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1.5</c:v>
                </c:pt>
                <c:pt idx="47">
                  <c:v>2</c:v>
                </c:pt>
                <c:pt idx="48">
                  <c:v>1.5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1.5</c:v>
                </c:pt>
                <c:pt idx="55">
                  <c:v>2</c:v>
                </c:pt>
                <c:pt idx="56">
                  <c:v>1.5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18-47D5-926E-7FE9B68CB01A}"/>
            </c:ext>
          </c:extLst>
        </c:ser>
        <c:ser>
          <c:idx val="2"/>
          <c:order val="1"/>
          <c:tx>
            <c:strRef>
              <c:f>'Horizontal Raincloud - 3 Clouds'!$N$9</c:f>
              <c:strCache>
                <c:ptCount val="1"/>
                <c:pt idx="0">
                  <c:v>Cloud 2: X-position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xVal>
            <c:numRef>
              <c:f>'Horizontal Raincloud - 3 Clouds'!$H$10:$H$69</c:f>
              <c:numCache>
                <c:formatCode>General</c:formatCode>
                <c:ptCount val="60"/>
                <c:pt idx="0">
                  <c:v>102</c:v>
                </c:pt>
                <c:pt idx="1">
                  <c:v>105</c:v>
                </c:pt>
                <c:pt idx="2">
                  <c:v>105</c:v>
                </c:pt>
                <c:pt idx="3">
                  <c:v>106</c:v>
                </c:pt>
                <c:pt idx="4">
                  <c:v>107</c:v>
                </c:pt>
                <c:pt idx="5">
                  <c:v>111</c:v>
                </c:pt>
                <c:pt idx="6">
                  <c:v>113</c:v>
                </c:pt>
                <c:pt idx="7">
                  <c:v>116</c:v>
                </c:pt>
                <c:pt idx="8">
                  <c:v>116</c:v>
                </c:pt>
                <c:pt idx="9">
                  <c:v>117</c:v>
                </c:pt>
                <c:pt idx="10">
                  <c:v>118</c:v>
                </c:pt>
                <c:pt idx="11">
                  <c:v>118</c:v>
                </c:pt>
                <c:pt idx="12">
                  <c:v>119</c:v>
                </c:pt>
                <c:pt idx="13">
                  <c:v>121</c:v>
                </c:pt>
                <c:pt idx="14">
                  <c:v>123</c:v>
                </c:pt>
                <c:pt idx="15">
                  <c:v>124</c:v>
                </c:pt>
                <c:pt idx="16">
                  <c:v>125</c:v>
                </c:pt>
                <c:pt idx="17">
                  <c:v>126</c:v>
                </c:pt>
                <c:pt idx="18">
                  <c:v>127</c:v>
                </c:pt>
                <c:pt idx="19">
                  <c:v>128</c:v>
                </c:pt>
                <c:pt idx="20">
                  <c:v>138</c:v>
                </c:pt>
                <c:pt idx="21">
                  <c:v>143</c:v>
                </c:pt>
                <c:pt idx="22">
                  <c:v>144</c:v>
                </c:pt>
                <c:pt idx="23">
                  <c:v>146</c:v>
                </c:pt>
                <c:pt idx="24">
                  <c:v>147</c:v>
                </c:pt>
                <c:pt idx="25">
                  <c:v>149</c:v>
                </c:pt>
                <c:pt idx="26">
                  <c:v>149</c:v>
                </c:pt>
                <c:pt idx="27">
                  <c:v>150</c:v>
                </c:pt>
                <c:pt idx="28">
                  <c:v>153</c:v>
                </c:pt>
                <c:pt idx="29">
                  <c:v>154</c:v>
                </c:pt>
                <c:pt idx="30">
                  <c:v>156</c:v>
                </c:pt>
                <c:pt idx="31">
                  <c:v>160</c:v>
                </c:pt>
                <c:pt idx="32">
                  <c:v>160</c:v>
                </c:pt>
                <c:pt idx="33">
                  <c:v>164</c:v>
                </c:pt>
                <c:pt idx="34">
                  <c:v>167</c:v>
                </c:pt>
                <c:pt idx="35">
                  <c:v>168</c:v>
                </c:pt>
                <c:pt idx="36">
                  <c:v>172</c:v>
                </c:pt>
                <c:pt idx="37">
                  <c:v>173</c:v>
                </c:pt>
                <c:pt idx="38">
                  <c:v>174</c:v>
                </c:pt>
                <c:pt idx="39">
                  <c:v>175</c:v>
                </c:pt>
                <c:pt idx="40">
                  <c:v>177</c:v>
                </c:pt>
                <c:pt idx="41">
                  <c:v>179</c:v>
                </c:pt>
                <c:pt idx="42">
                  <c:v>181</c:v>
                </c:pt>
                <c:pt idx="43">
                  <c:v>182</c:v>
                </c:pt>
                <c:pt idx="44">
                  <c:v>182</c:v>
                </c:pt>
                <c:pt idx="45">
                  <c:v>182</c:v>
                </c:pt>
                <c:pt idx="46">
                  <c:v>184</c:v>
                </c:pt>
                <c:pt idx="47">
                  <c:v>186</c:v>
                </c:pt>
                <c:pt idx="48">
                  <c:v>189</c:v>
                </c:pt>
                <c:pt idx="49">
                  <c:v>190</c:v>
                </c:pt>
                <c:pt idx="50">
                  <c:v>191</c:v>
                </c:pt>
                <c:pt idx="51">
                  <c:v>191</c:v>
                </c:pt>
                <c:pt idx="52">
                  <c:v>191</c:v>
                </c:pt>
                <c:pt idx="53">
                  <c:v>191</c:v>
                </c:pt>
                <c:pt idx="54">
                  <c:v>192</c:v>
                </c:pt>
                <c:pt idx="55">
                  <c:v>196</c:v>
                </c:pt>
                <c:pt idx="56">
                  <c:v>196</c:v>
                </c:pt>
                <c:pt idx="57">
                  <c:v>197</c:v>
                </c:pt>
                <c:pt idx="58">
                  <c:v>198</c:v>
                </c:pt>
                <c:pt idx="59">
                  <c:v>200</c:v>
                </c:pt>
              </c:numCache>
            </c:numRef>
          </c:xVal>
          <c:yVal>
            <c:numRef>
              <c:f>'Horizontal Raincloud - 3 Clouds'!$N$10:$N$69</c:f>
              <c:numCache>
                <c:formatCode>General</c:formatCode>
                <c:ptCount val="60"/>
                <c:pt idx="0">
                  <c:v>3</c:v>
                </c:pt>
                <c:pt idx="1">
                  <c:v>3</c:v>
                </c:pt>
                <c:pt idx="2">
                  <c:v>2.5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2.5</c:v>
                </c:pt>
                <c:pt idx="9">
                  <c:v>3</c:v>
                </c:pt>
                <c:pt idx="10">
                  <c:v>3</c:v>
                </c:pt>
                <c:pt idx="11">
                  <c:v>2.5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2.5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2.5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2.5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2.5</c:v>
                </c:pt>
                <c:pt idx="52">
                  <c:v>2</c:v>
                </c:pt>
                <c:pt idx="53">
                  <c:v>1.5</c:v>
                </c:pt>
                <c:pt idx="54">
                  <c:v>3</c:v>
                </c:pt>
                <c:pt idx="55">
                  <c:v>3</c:v>
                </c:pt>
                <c:pt idx="56">
                  <c:v>2.5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18-47D5-926E-7FE9B68CB01A}"/>
            </c:ext>
          </c:extLst>
        </c:ser>
        <c:ser>
          <c:idx val="0"/>
          <c:order val="2"/>
          <c:tx>
            <c:strRef>
              <c:f>'Horizontal Raincloud - 3 Clouds'!$O$9</c:f>
              <c:strCache>
                <c:ptCount val="1"/>
                <c:pt idx="0">
                  <c:v>Cloud 3: X-position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'Horizontal Raincloud - 3 Clouds'!$I$10:$I$69</c:f>
              <c:numCache>
                <c:formatCode>General</c:formatCode>
                <c:ptCount val="60"/>
                <c:pt idx="0">
                  <c:v>204</c:v>
                </c:pt>
                <c:pt idx="1">
                  <c:v>206</c:v>
                </c:pt>
                <c:pt idx="2">
                  <c:v>206</c:v>
                </c:pt>
                <c:pt idx="3">
                  <c:v>206</c:v>
                </c:pt>
                <c:pt idx="4">
                  <c:v>208</c:v>
                </c:pt>
                <c:pt idx="5">
                  <c:v>209</c:v>
                </c:pt>
                <c:pt idx="6">
                  <c:v>211</c:v>
                </c:pt>
                <c:pt idx="7">
                  <c:v>211</c:v>
                </c:pt>
                <c:pt idx="8">
                  <c:v>213</c:v>
                </c:pt>
                <c:pt idx="9">
                  <c:v>216</c:v>
                </c:pt>
                <c:pt idx="10">
                  <c:v>216</c:v>
                </c:pt>
                <c:pt idx="11">
                  <c:v>217</c:v>
                </c:pt>
                <c:pt idx="12">
                  <c:v>217</c:v>
                </c:pt>
                <c:pt idx="13">
                  <c:v>218</c:v>
                </c:pt>
                <c:pt idx="14">
                  <c:v>223</c:v>
                </c:pt>
                <c:pt idx="15">
                  <c:v>223</c:v>
                </c:pt>
                <c:pt idx="16">
                  <c:v>224</c:v>
                </c:pt>
                <c:pt idx="17">
                  <c:v>225</c:v>
                </c:pt>
                <c:pt idx="18">
                  <c:v>225</c:v>
                </c:pt>
                <c:pt idx="19">
                  <c:v>226</c:v>
                </c:pt>
                <c:pt idx="20">
                  <c:v>226</c:v>
                </c:pt>
                <c:pt idx="21">
                  <c:v>229</c:v>
                </c:pt>
                <c:pt idx="22">
                  <c:v>230</c:v>
                </c:pt>
                <c:pt idx="23">
                  <c:v>237</c:v>
                </c:pt>
                <c:pt idx="24">
                  <c:v>240</c:v>
                </c:pt>
                <c:pt idx="25">
                  <c:v>240</c:v>
                </c:pt>
                <c:pt idx="26">
                  <c:v>241</c:v>
                </c:pt>
                <c:pt idx="27">
                  <c:v>242</c:v>
                </c:pt>
                <c:pt idx="28">
                  <c:v>248</c:v>
                </c:pt>
                <c:pt idx="29">
                  <c:v>250</c:v>
                </c:pt>
                <c:pt idx="30">
                  <c:v>250</c:v>
                </c:pt>
                <c:pt idx="31">
                  <c:v>251</c:v>
                </c:pt>
                <c:pt idx="32">
                  <c:v>252</c:v>
                </c:pt>
                <c:pt idx="33">
                  <c:v>252</c:v>
                </c:pt>
                <c:pt idx="34">
                  <c:v>253</c:v>
                </c:pt>
                <c:pt idx="35">
                  <c:v>253</c:v>
                </c:pt>
                <c:pt idx="36">
                  <c:v>254</c:v>
                </c:pt>
                <c:pt idx="37">
                  <c:v>257</c:v>
                </c:pt>
                <c:pt idx="38">
                  <c:v>257</c:v>
                </c:pt>
                <c:pt idx="39">
                  <c:v>259</c:v>
                </c:pt>
                <c:pt idx="40">
                  <c:v>262</c:v>
                </c:pt>
                <c:pt idx="41">
                  <c:v>262</c:v>
                </c:pt>
                <c:pt idx="42">
                  <c:v>265</c:v>
                </c:pt>
                <c:pt idx="43">
                  <c:v>265</c:v>
                </c:pt>
                <c:pt idx="44">
                  <c:v>272</c:v>
                </c:pt>
                <c:pt idx="45">
                  <c:v>274</c:v>
                </c:pt>
                <c:pt idx="46">
                  <c:v>280</c:v>
                </c:pt>
                <c:pt idx="47">
                  <c:v>283</c:v>
                </c:pt>
                <c:pt idx="48">
                  <c:v>283</c:v>
                </c:pt>
                <c:pt idx="49">
                  <c:v>285</c:v>
                </c:pt>
                <c:pt idx="50">
                  <c:v>290</c:v>
                </c:pt>
                <c:pt idx="51">
                  <c:v>290</c:v>
                </c:pt>
                <c:pt idx="52">
                  <c:v>290</c:v>
                </c:pt>
                <c:pt idx="53">
                  <c:v>290</c:v>
                </c:pt>
                <c:pt idx="54">
                  <c:v>292</c:v>
                </c:pt>
                <c:pt idx="55">
                  <c:v>293</c:v>
                </c:pt>
                <c:pt idx="56">
                  <c:v>295</c:v>
                </c:pt>
                <c:pt idx="57">
                  <c:v>295</c:v>
                </c:pt>
                <c:pt idx="58">
                  <c:v>297</c:v>
                </c:pt>
                <c:pt idx="59">
                  <c:v>298</c:v>
                </c:pt>
              </c:numCache>
            </c:numRef>
          </c:xVal>
          <c:yVal>
            <c:numRef>
              <c:f>'Horizontal Raincloud - 3 Clouds'!$O$10:$O$69</c:f>
              <c:numCache>
                <c:formatCode>General</c:formatCode>
                <c:ptCount val="60"/>
                <c:pt idx="0">
                  <c:v>4</c:v>
                </c:pt>
                <c:pt idx="1">
                  <c:v>4</c:v>
                </c:pt>
                <c:pt idx="2">
                  <c:v>3.5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3.5</c:v>
                </c:pt>
                <c:pt idx="8">
                  <c:v>4</c:v>
                </c:pt>
                <c:pt idx="9">
                  <c:v>4</c:v>
                </c:pt>
                <c:pt idx="10">
                  <c:v>3.5</c:v>
                </c:pt>
                <c:pt idx="11">
                  <c:v>4</c:v>
                </c:pt>
                <c:pt idx="12">
                  <c:v>3.5</c:v>
                </c:pt>
                <c:pt idx="13">
                  <c:v>4</c:v>
                </c:pt>
                <c:pt idx="14">
                  <c:v>4</c:v>
                </c:pt>
                <c:pt idx="15">
                  <c:v>3.5</c:v>
                </c:pt>
                <c:pt idx="16">
                  <c:v>4</c:v>
                </c:pt>
                <c:pt idx="17">
                  <c:v>4</c:v>
                </c:pt>
                <c:pt idx="18">
                  <c:v>3.5</c:v>
                </c:pt>
                <c:pt idx="19">
                  <c:v>4</c:v>
                </c:pt>
                <c:pt idx="20">
                  <c:v>3.5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3.5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3.5</c:v>
                </c:pt>
                <c:pt idx="31">
                  <c:v>4</c:v>
                </c:pt>
                <c:pt idx="32">
                  <c:v>4</c:v>
                </c:pt>
                <c:pt idx="33">
                  <c:v>3.5</c:v>
                </c:pt>
                <c:pt idx="34">
                  <c:v>4</c:v>
                </c:pt>
                <c:pt idx="35">
                  <c:v>3.5</c:v>
                </c:pt>
                <c:pt idx="36">
                  <c:v>4</c:v>
                </c:pt>
                <c:pt idx="37">
                  <c:v>4</c:v>
                </c:pt>
                <c:pt idx="38">
                  <c:v>3.5</c:v>
                </c:pt>
                <c:pt idx="39">
                  <c:v>4</c:v>
                </c:pt>
                <c:pt idx="40">
                  <c:v>4</c:v>
                </c:pt>
                <c:pt idx="41">
                  <c:v>3.5</c:v>
                </c:pt>
                <c:pt idx="42">
                  <c:v>4</c:v>
                </c:pt>
                <c:pt idx="43">
                  <c:v>3.5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3.5</c:v>
                </c:pt>
                <c:pt idx="49">
                  <c:v>4</c:v>
                </c:pt>
                <c:pt idx="50">
                  <c:v>4</c:v>
                </c:pt>
                <c:pt idx="51">
                  <c:v>3.5</c:v>
                </c:pt>
                <c:pt idx="52">
                  <c:v>3</c:v>
                </c:pt>
                <c:pt idx="53">
                  <c:v>2.5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3.5</c:v>
                </c:pt>
                <c:pt idx="58">
                  <c:v>4</c:v>
                </c:pt>
                <c:pt idx="59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18-47D5-926E-7FE9B68CB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668000"/>
        <c:axId val="1482665504"/>
      </c:scatterChart>
      <c:valAx>
        <c:axId val="148266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665504"/>
        <c:crosses val="autoZero"/>
        <c:crossBetween val="midCat"/>
      </c:valAx>
      <c:valAx>
        <c:axId val="14826655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668000"/>
        <c:crosses val="autoZero"/>
        <c:crossBetween val="midCat"/>
      </c:valAx>
    </c:plotArea>
    <c:plotVisOnly val="1"/>
    <c:dispBlanksAs val="gap"/>
    <c:showDLblsOverMax val="0"/>
  </c:chart>
  <c:spPr>
    <a:ln>
      <a:noFill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Horizontal</a:t>
            </a:r>
            <a:r>
              <a:rPr lang="en-AU" baseline="0"/>
              <a:t> Raincloud Chart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stacked"/>
        <c:varyColors val="0"/>
        <c:ser>
          <c:idx val="1"/>
          <c:order val="0"/>
          <c:tx>
            <c:strRef>
              <c:f>'Horizontal Raincloud - 3 Clouds'!$Q$22</c:f>
              <c:strCache>
                <c:ptCount val="1"/>
                <c:pt idx="0">
                  <c:v>Base 25th</c:v>
                </c:pt>
              </c:strCache>
            </c:strRef>
          </c:tx>
          <c:spPr>
            <a:noFill/>
          </c:spPr>
          <c:invertIfNegative val="0"/>
          <c:cat>
            <c:strRef>
              <c:f>'Horizontal Raincloud - 3 Clouds'!$R$21:$V$21</c:f>
              <c:strCache>
                <c:ptCount val="5"/>
                <c:pt idx="2">
                  <c:v>Stacked: Cloud 1</c:v>
                </c:pt>
                <c:pt idx="3">
                  <c:v>Stacked: Cloud 2</c:v>
                </c:pt>
                <c:pt idx="4">
                  <c:v>Stacked: Cloud 3</c:v>
                </c:pt>
              </c:strCache>
            </c:strRef>
          </c:cat>
          <c:val>
            <c:numRef>
              <c:f>'Horizontal Raincloud - 3 Clouds'!$R$22:$V$22</c:f>
              <c:numCache>
                <c:formatCode>General</c:formatCode>
                <c:ptCount val="5"/>
                <c:pt idx="2">
                  <c:v>20.5</c:v>
                </c:pt>
                <c:pt idx="3">
                  <c:v>123.75</c:v>
                </c:pt>
                <c:pt idx="4">
                  <c:v>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0C70-41FC-ABC6-A4F723C6AB5A}"/>
            </c:ext>
          </c:extLst>
        </c:ser>
        <c:ser>
          <c:idx val="2"/>
          <c:order val="1"/>
          <c:tx>
            <c:strRef>
              <c:f>'Horizontal Raincloud - 3 Clouds'!$Q$23</c:f>
              <c:strCache>
                <c:ptCount val="1"/>
                <c:pt idx="0">
                  <c:v>Bottom 25-50</c:v>
                </c:pt>
              </c:strCache>
            </c:strRef>
          </c:tx>
          <c:invertIfNegative val="0"/>
          <c:cat>
            <c:strRef>
              <c:f>'Horizontal Raincloud - 3 Clouds'!$R$21:$V$21</c:f>
              <c:strCache>
                <c:ptCount val="5"/>
                <c:pt idx="2">
                  <c:v>Stacked: Cloud 1</c:v>
                </c:pt>
                <c:pt idx="3">
                  <c:v>Stacked: Cloud 2</c:v>
                </c:pt>
                <c:pt idx="4">
                  <c:v>Stacked: Cloud 3</c:v>
                </c:pt>
              </c:strCache>
            </c:strRef>
          </c:cat>
          <c:val>
            <c:numRef>
              <c:f>'Horizontal Raincloud - 3 Clouds'!$R$23:$V$23</c:f>
              <c:numCache>
                <c:formatCode>General</c:formatCode>
                <c:ptCount val="5"/>
                <c:pt idx="2">
                  <c:v>23</c:v>
                </c:pt>
                <c:pt idx="3">
                  <c:v>31.25</c:v>
                </c:pt>
                <c:pt idx="4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0C70-41FC-ABC6-A4F723C6AB5A}"/>
            </c:ext>
          </c:extLst>
        </c:ser>
        <c:ser>
          <c:idx val="3"/>
          <c:order val="2"/>
          <c:tx>
            <c:strRef>
              <c:f>'Horizontal Raincloud - 3 Clouds'!$Q$24</c:f>
              <c:strCache>
                <c:ptCount val="1"/>
                <c:pt idx="0">
                  <c:v>Top 50-75</c:v>
                </c:pt>
              </c:strCache>
            </c:strRef>
          </c:tx>
          <c:invertIfNegative val="0"/>
          <c:cat>
            <c:strRef>
              <c:f>'Horizontal Raincloud - 3 Clouds'!$R$21:$V$21</c:f>
              <c:strCache>
                <c:ptCount val="5"/>
                <c:pt idx="2">
                  <c:v>Stacked: Cloud 1</c:v>
                </c:pt>
                <c:pt idx="3">
                  <c:v>Stacked: Cloud 2</c:v>
                </c:pt>
                <c:pt idx="4">
                  <c:v>Stacked: Cloud 3</c:v>
                </c:pt>
              </c:strCache>
            </c:strRef>
          </c:cat>
          <c:val>
            <c:numRef>
              <c:f>'Horizontal Raincloud - 3 Clouds'!$R$24:$V$24</c:f>
              <c:numCache>
                <c:formatCode>General</c:formatCode>
                <c:ptCount val="5"/>
                <c:pt idx="2">
                  <c:v>21.25</c:v>
                </c:pt>
                <c:pt idx="3">
                  <c:v>27</c:v>
                </c:pt>
                <c:pt idx="4">
                  <c:v>22.5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0C70-41FC-ABC6-A4F723C6A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06079632"/>
        <c:axId val="1506067984"/>
      </c:barChart>
      <c:scatterChart>
        <c:scatterStyle val="lineMarker"/>
        <c:varyColors val="0"/>
        <c:ser>
          <c:idx val="4"/>
          <c:order val="3"/>
          <c:tx>
            <c:strRef>
              <c:f>'Horizontal Raincloud - 3 Clouds'!$M$9</c:f>
              <c:strCache>
                <c:ptCount val="1"/>
                <c:pt idx="0">
                  <c:v>Cloud 1: X-position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'Horizontal Raincloud - 3 Clouds'!$G$10:$G$69</c:f>
              <c:numCache>
                <c:formatCode>General</c:formatCode>
                <c:ptCount val="60"/>
                <c:pt idx="0">
                  <c:v>1</c:v>
                </c:pt>
                <c:pt idx="1">
                  <c:v>8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18</c:v>
                </c:pt>
                <c:pt idx="13">
                  <c:v>18</c:v>
                </c:pt>
                <c:pt idx="14">
                  <c:v>19</c:v>
                </c:pt>
                <c:pt idx="15">
                  <c:v>21</c:v>
                </c:pt>
                <c:pt idx="16">
                  <c:v>27</c:v>
                </c:pt>
                <c:pt idx="17">
                  <c:v>27</c:v>
                </c:pt>
                <c:pt idx="18">
                  <c:v>28</c:v>
                </c:pt>
                <c:pt idx="19">
                  <c:v>28</c:v>
                </c:pt>
                <c:pt idx="20">
                  <c:v>29</c:v>
                </c:pt>
                <c:pt idx="21">
                  <c:v>29</c:v>
                </c:pt>
                <c:pt idx="22">
                  <c:v>31</c:v>
                </c:pt>
                <c:pt idx="23">
                  <c:v>31</c:v>
                </c:pt>
                <c:pt idx="24">
                  <c:v>31</c:v>
                </c:pt>
                <c:pt idx="25">
                  <c:v>33</c:v>
                </c:pt>
                <c:pt idx="26">
                  <c:v>34</c:v>
                </c:pt>
                <c:pt idx="27">
                  <c:v>38</c:v>
                </c:pt>
                <c:pt idx="28">
                  <c:v>39</c:v>
                </c:pt>
                <c:pt idx="29">
                  <c:v>43</c:v>
                </c:pt>
                <c:pt idx="30">
                  <c:v>44</c:v>
                </c:pt>
                <c:pt idx="31">
                  <c:v>48</c:v>
                </c:pt>
                <c:pt idx="32">
                  <c:v>48</c:v>
                </c:pt>
                <c:pt idx="33">
                  <c:v>50</c:v>
                </c:pt>
                <c:pt idx="34">
                  <c:v>51</c:v>
                </c:pt>
                <c:pt idx="35">
                  <c:v>52</c:v>
                </c:pt>
                <c:pt idx="36">
                  <c:v>53</c:v>
                </c:pt>
                <c:pt idx="37">
                  <c:v>53</c:v>
                </c:pt>
                <c:pt idx="38">
                  <c:v>56</c:v>
                </c:pt>
                <c:pt idx="39">
                  <c:v>56</c:v>
                </c:pt>
                <c:pt idx="40">
                  <c:v>60</c:v>
                </c:pt>
                <c:pt idx="41">
                  <c:v>60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67</c:v>
                </c:pt>
                <c:pt idx="46">
                  <c:v>67</c:v>
                </c:pt>
                <c:pt idx="47">
                  <c:v>68</c:v>
                </c:pt>
                <c:pt idx="48">
                  <c:v>68</c:v>
                </c:pt>
                <c:pt idx="49">
                  <c:v>68</c:v>
                </c:pt>
                <c:pt idx="50">
                  <c:v>70</c:v>
                </c:pt>
                <c:pt idx="51">
                  <c:v>73</c:v>
                </c:pt>
                <c:pt idx="52">
                  <c:v>78</c:v>
                </c:pt>
                <c:pt idx="53">
                  <c:v>90</c:v>
                </c:pt>
                <c:pt idx="54">
                  <c:v>90</c:v>
                </c:pt>
                <c:pt idx="55">
                  <c:v>92</c:v>
                </c:pt>
                <c:pt idx="56">
                  <c:v>92</c:v>
                </c:pt>
                <c:pt idx="57">
                  <c:v>93</c:v>
                </c:pt>
                <c:pt idx="58">
                  <c:v>95</c:v>
                </c:pt>
                <c:pt idx="59">
                  <c:v>99</c:v>
                </c:pt>
              </c:numCache>
            </c:numRef>
          </c:xVal>
          <c:yVal>
            <c:numRef>
              <c:f>'Horizontal Raincloud - 3 Clouds'!$M$10:$M$69</c:f>
              <c:numCache>
                <c:formatCode>General</c:formatCode>
                <c:ptCount val="60"/>
                <c:pt idx="0">
                  <c:v>2</c:v>
                </c:pt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1.5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1.5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1.5</c:v>
                </c:pt>
                <c:pt idx="18">
                  <c:v>2</c:v>
                </c:pt>
                <c:pt idx="19">
                  <c:v>1.5</c:v>
                </c:pt>
                <c:pt idx="20">
                  <c:v>2</c:v>
                </c:pt>
                <c:pt idx="21">
                  <c:v>1.5</c:v>
                </c:pt>
                <c:pt idx="22">
                  <c:v>2</c:v>
                </c:pt>
                <c:pt idx="23">
                  <c:v>1.5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1.5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1.5</c:v>
                </c:pt>
                <c:pt idx="38">
                  <c:v>2</c:v>
                </c:pt>
                <c:pt idx="39">
                  <c:v>1.5</c:v>
                </c:pt>
                <c:pt idx="40">
                  <c:v>2</c:v>
                </c:pt>
                <c:pt idx="41">
                  <c:v>1.5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1.5</c:v>
                </c:pt>
                <c:pt idx="47">
                  <c:v>2</c:v>
                </c:pt>
                <c:pt idx="48">
                  <c:v>1.5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1.5</c:v>
                </c:pt>
                <c:pt idx="55">
                  <c:v>2</c:v>
                </c:pt>
                <c:pt idx="56">
                  <c:v>1.5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C70-41FC-ABC6-A4F723C6AB5A}"/>
            </c:ext>
          </c:extLst>
        </c:ser>
        <c:ser>
          <c:idx val="5"/>
          <c:order val="4"/>
          <c:tx>
            <c:strRef>
              <c:f>'Horizontal Raincloud - 3 Clouds'!$N$9</c:f>
              <c:strCache>
                <c:ptCount val="1"/>
                <c:pt idx="0">
                  <c:v>Cloud 2: X-position</c:v>
                </c:pt>
              </c:strCache>
            </c:strRef>
          </c:tx>
          <c:spPr>
            <a:ln w="28575">
              <a:noFill/>
            </a:ln>
            <a:effectLst/>
          </c:spPr>
          <c:xVal>
            <c:numRef>
              <c:f>'Horizontal Raincloud - 3 Clouds'!$H$10:$H$69</c:f>
              <c:numCache>
                <c:formatCode>General</c:formatCode>
                <c:ptCount val="60"/>
                <c:pt idx="0">
                  <c:v>102</c:v>
                </c:pt>
                <c:pt idx="1">
                  <c:v>105</c:v>
                </c:pt>
                <c:pt idx="2">
                  <c:v>105</c:v>
                </c:pt>
                <c:pt idx="3">
                  <c:v>106</c:v>
                </c:pt>
                <c:pt idx="4">
                  <c:v>107</c:v>
                </c:pt>
                <c:pt idx="5">
                  <c:v>111</c:v>
                </c:pt>
                <c:pt idx="6">
                  <c:v>113</c:v>
                </c:pt>
                <c:pt idx="7">
                  <c:v>116</c:v>
                </c:pt>
                <c:pt idx="8">
                  <c:v>116</c:v>
                </c:pt>
                <c:pt idx="9">
                  <c:v>117</c:v>
                </c:pt>
                <c:pt idx="10">
                  <c:v>118</c:v>
                </c:pt>
                <c:pt idx="11">
                  <c:v>118</c:v>
                </c:pt>
                <c:pt idx="12">
                  <c:v>119</c:v>
                </c:pt>
                <c:pt idx="13">
                  <c:v>121</c:v>
                </c:pt>
                <c:pt idx="14">
                  <c:v>123</c:v>
                </c:pt>
                <c:pt idx="15">
                  <c:v>124</c:v>
                </c:pt>
                <c:pt idx="16">
                  <c:v>125</c:v>
                </c:pt>
                <c:pt idx="17">
                  <c:v>126</c:v>
                </c:pt>
                <c:pt idx="18">
                  <c:v>127</c:v>
                </c:pt>
                <c:pt idx="19">
                  <c:v>128</c:v>
                </c:pt>
                <c:pt idx="20">
                  <c:v>138</c:v>
                </c:pt>
                <c:pt idx="21">
                  <c:v>143</c:v>
                </c:pt>
                <c:pt idx="22">
                  <c:v>144</c:v>
                </c:pt>
                <c:pt idx="23">
                  <c:v>146</c:v>
                </c:pt>
                <c:pt idx="24">
                  <c:v>147</c:v>
                </c:pt>
                <c:pt idx="25">
                  <c:v>149</c:v>
                </c:pt>
                <c:pt idx="26">
                  <c:v>149</c:v>
                </c:pt>
                <c:pt idx="27">
                  <c:v>150</c:v>
                </c:pt>
                <c:pt idx="28">
                  <c:v>153</c:v>
                </c:pt>
                <c:pt idx="29">
                  <c:v>154</c:v>
                </c:pt>
                <c:pt idx="30">
                  <c:v>156</c:v>
                </c:pt>
                <c:pt idx="31">
                  <c:v>160</c:v>
                </c:pt>
                <c:pt idx="32">
                  <c:v>160</c:v>
                </c:pt>
                <c:pt idx="33">
                  <c:v>164</c:v>
                </c:pt>
                <c:pt idx="34">
                  <c:v>167</c:v>
                </c:pt>
                <c:pt idx="35">
                  <c:v>168</c:v>
                </c:pt>
                <c:pt idx="36">
                  <c:v>172</c:v>
                </c:pt>
                <c:pt idx="37">
                  <c:v>173</c:v>
                </c:pt>
                <c:pt idx="38">
                  <c:v>174</c:v>
                </c:pt>
                <c:pt idx="39">
                  <c:v>175</c:v>
                </c:pt>
                <c:pt idx="40">
                  <c:v>177</c:v>
                </c:pt>
                <c:pt idx="41">
                  <c:v>179</c:v>
                </c:pt>
                <c:pt idx="42">
                  <c:v>181</c:v>
                </c:pt>
                <c:pt idx="43">
                  <c:v>182</c:v>
                </c:pt>
                <c:pt idx="44">
                  <c:v>182</c:v>
                </c:pt>
                <c:pt idx="45">
                  <c:v>182</c:v>
                </c:pt>
                <c:pt idx="46">
                  <c:v>184</c:v>
                </c:pt>
                <c:pt idx="47">
                  <c:v>186</c:v>
                </c:pt>
                <c:pt idx="48">
                  <c:v>189</c:v>
                </c:pt>
                <c:pt idx="49">
                  <c:v>190</c:v>
                </c:pt>
                <c:pt idx="50">
                  <c:v>191</c:v>
                </c:pt>
                <c:pt idx="51">
                  <c:v>191</c:v>
                </c:pt>
                <c:pt idx="52">
                  <c:v>191</c:v>
                </c:pt>
                <c:pt idx="53">
                  <c:v>191</c:v>
                </c:pt>
                <c:pt idx="54">
                  <c:v>192</c:v>
                </c:pt>
                <c:pt idx="55">
                  <c:v>196</c:v>
                </c:pt>
                <c:pt idx="56">
                  <c:v>196</c:v>
                </c:pt>
                <c:pt idx="57">
                  <c:v>197</c:v>
                </c:pt>
                <c:pt idx="58">
                  <c:v>198</c:v>
                </c:pt>
                <c:pt idx="59">
                  <c:v>200</c:v>
                </c:pt>
              </c:numCache>
            </c:numRef>
          </c:xVal>
          <c:yVal>
            <c:numRef>
              <c:f>'Horizontal Raincloud - 3 Clouds'!$N$10:$N$69</c:f>
              <c:numCache>
                <c:formatCode>General</c:formatCode>
                <c:ptCount val="60"/>
                <c:pt idx="0">
                  <c:v>3</c:v>
                </c:pt>
                <c:pt idx="1">
                  <c:v>3</c:v>
                </c:pt>
                <c:pt idx="2">
                  <c:v>2.5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2.5</c:v>
                </c:pt>
                <c:pt idx="9">
                  <c:v>3</c:v>
                </c:pt>
                <c:pt idx="10">
                  <c:v>3</c:v>
                </c:pt>
                <c:pt idx="11">
                  <c:v>2.5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2.5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2.5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2.5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2.5</c:v>
                </c:pt>
                <c:pt idx="52">
                  <c:v>2</c:v>
                </c:pt>
                <c:pt idx="53">
                  <c:v>1.5</c:v>
                </c:pt>
                <c:pt idx="54">
                  <c:v>3</c:v>
                </c:pt>
                <c:pt idx="55">
                  <c:v>3</c:v>
                </c:pt>
                <c:pt idx="56">
                  <c:v>2.5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C70-41FC-ABC6-A4F723C6AB5A}"/>
            </c:ext>
          </c:extLst>
        </c:ser>
        <c:ser>
          <c:idx val="6"/>
          <c:order val="5"/>
          <c:tx>
            <c:strRef>
              <c:f>'Horizontal Raincloud - 3 Clouds'!$O$9</c:f>
              <c:strCache>
                <c:ptCount val="1"/>
                <c:pt idx="0">
                  <c:v>Cloud 3: X-position</c:v>
                </c:pt>
              </c:strCache>
            </c:strRef>
          </c:tx>
          <c:spPr>
            <a:ln w="28575">
              <a:noFill/>
            </a:ln>
            <a:effectLst/>
          </c:spPr>
          <c:marker>
            <c:symbol val="circle"/>
            <c:size val="7"/>
          </c:marker>
          <c:xVal>
            <c:numRef>
              <c:f>'Horizontal Raincloud - 3 Clouds'!$I$10:$I$69</c:f>
              <c:numCache>
                <c:formatCode>General</c:formatCode>
                <c:ptCount val="60"/>
                <c:pt idx="0">
                  <c:v>204</c:v>
                </c:pt>
                <c:pt idx="1">
                  <c:v>206</c:v>
                </c:pt>
                <c:pt idx="2">
                  <c:v>206</c:v>
                </c:pt>
                <c:pt idx="3">
                  <c:v>206</c:v>
                </c:pt>
                <c:pt idx="4">
                  <c:v>208</c:v>
                </c:pt>
                <c:pt idx="5">
                  <c:v>209</c:v>
                </c:pt>
                <c:pt idx="6">
                  <c:v>211</c:v>
                </c:pt>
                <c:pt idx="7">
                  <c:v>211</c:v>
                </c:pt>
                <c:pt idx="8">
                  <c:v>213</c:v>
                </c:pt>
                <c:pt idx="9">
                  <c:v>216</c:v>
                </c:pt>
                <c:pt idx="10">
                  <c:v>216</c:v>
                </c:pt>
                <c:pt idx="11">
                  <c:v>217</c:v>
                </c:pt>
                <c:pt idx="12">
                  <c:v>217</c:v>
                </c:pt>
                <c:pt idx="13">
                  <c:v>218</c:v>
                </c:pt>
                <c:pt idx="14">
                  <c:v>223</c:v>
                </c:pt>
                <c:pt idx="15">
                  <c:v>223</c:v>
                </c:pt>
                <c:pt idx="16">
                  <c:v>224</c:v>
                </c:pt>
                <c:pt idx="17">
                  <c:v>225</c:v>
                </c:pt>
                <c:pt idx="18">
                  <c:v>225</c:v>
                </c:pt>
                <c:pt idx="19">
                  <c:v>226</c:v>
                </c:pt>
                <c:pt idx="20">
                  <c:v>226</c:v>
                </c:pt>
                <c:pt idx="21">
                  <c:v>229</c:v>
                </c:pt>
                <c:pt idx="22">
                  <c:v>230</c:v>
                </c:pt>
                <c:pt idx="23">
                  <c:v>237</c:v>
                </c:pt>
                <c:pt idx="24">
                  <c:v>240</c:v>
                </c:pt>
                <c:pt idx="25">
                  <c:v>240</c:v>
                </c:pt>
                <c:pt idx="26">
                  <c:v>241</c:v>
                </c:pt>
                <c:pt idx="27">
                  <c:v>242</c:v>
                </c:pt>
                <c:pt idx="28">
                  <c:v>248</c:v>
                </c:pt>
                <c:pt idx="29">
                  <c:v>250</c:v>
                </c:pt>
                <c:pt idx="30">
                  <c:v>250</c:v>
                </c:pt>
                <c:pt idx="31">
                  <c:v>251</c:v>
                </c:pt>
                <c:pt idx="32">
                  <c:v>252</c:v>
                </c:pt>
                <c:pt idx="33">
                  <c:v>252</c:v>
                </c:pt>
                <c:pt idx="34">
                  <c:v>253</c:v>
                </c:pt>
                <c:pt idx="35">
                  <c:v>253</c:v>
                </c:pt>
                <c:pt idx="36">
                  <c:v>254</c:v>
                </c:pt>
                <c:pt idx="37">
                  <c:v>257</c:v>
                </c:pt>
                <c:pt idx="38">
                  <c:v>257</c:v>
                </c:pt>
                <c:pt idx="39">
                  <c:v>259</c:v>
                </c:pt>
                <c:pt idx="40">
                  <c:v>262</c:v>
                </c:pt>
                <c:pt idx="41">
                  <c:v>262</c:v>
                </c:pt>
                <c:pt idx="42">
                  <c:v>265</c:v>
                </c:pt>
                <c:pt idx="43">
                  <c:v>265</c:v>
                </c:pt>
                <c:pt idx="44">
                  <c:v>272</c:v>
                </c:pt>
                <c:pt idx="45">
                  <c:v>274</c:v>
                </c:pt>
                <c:pt idx="46">
                  <c:v>280</c:v>
                </c:pt>
                <c:pt idx="47">
                  <c:v>283</c:v>
                </c:pt>
                <c:pt idx="48">
                  <c:v>283</c:v>
                </c:pt>
                <c:pt idx="49">
                  <c:v>285</c:v>
                </c:pt>
                <c:pt idx="50">
                  <c:v>290</c:v>
                </c:pt>
                <c:pt idx="51">
                  <c:v>290</c:v>
                </c:pt>
                <c:pt idx="52">
                  <c:v>290</c:v>
                </c:pt>
                <c:pt idx="53">
                  <c:v>290</c:v>
                </c:pt>
                <c:pt idx="54">
                  <c:v>292</c:v>
                </c:pt>
                <c:pt idx="55">
                  <c:v>293</c:v>
                </c:pt>
                <c:pt idx="56">
                  <c:v>295</c:v>
                </c:pt>
                <c:pt idx="57">
                  <c:v>295</c:v>
                </c:pt>
                <c:pt idx="58">
                  <c:v>297</c:v>
                </c:pt>
                <c:pt idx="59">
                  <c:v>298</c:v>
                </c:pt>
              </c:numCache>
            </c:numRef>
          </c:xVal>
          <c:yVal>
            <c:numRef>
              <c:f>'Horizontal Raincloud - 3 Clouds'!$O$10:$O$69</c:f>
              <c:numCache>
                <c:formatCode>General</c:formatCode>
                <c:ptCount val="60"/>
                <c:pt idx="0">
                  <c:v>4</c:v>
                </c:pt>
                <c:pt idx="1">
                  <c:v>4</c:v>
                </c:pt>
                <c:pt idx="2">
                  <c:v>3.5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3.5</c:v>
                </c:pt>
                <c:pt idx="8">
                  <c:v>4</c:v>
                </c:pt>
                <c:pt idx="9">
                  <c:v>4</c:v>
                </c:pt>
                <c:pt idx="10">
                  <c:v>3.5</c:v>
                </c:pt>
                <c:pt idx="11">
                  <c:v>4</c:v>
                </c:pt>
                <c:pt idx="12">
                  <c:v>3.5</c:v>
                </c:pt>
                <c:pt idx="13">
                  <c:v>4</c:v>
                </c:pt>
                <c:pt idx="14">
                  <c:v>4</c:v>
                </c:pt>
                <c:pt idx="15">
                  <c:v>3.5</c:v>
                </c:pt>
                <c:pt idx="16">
                  <c:v>4</c:v>
                </c:pt>
                <c:pt idx="17">
                  <c:v>4</c:v>
                </c:pt>
                <c:pt idx="18">
                  <c:v>3.5</c:v>
                </c:pt>
                <c:pt idx="19">
                  <c:v>4</c:v>
                </c:pt>
                <c:pt idx="20">
                  <c:v>3.5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3.5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3.5</c:v>
                </c:pt>
                <c:pt idx="31">
                  <c:v>4</c:v>
                </c:pt>
                <c:pt idx="32">
                  <c:v>4</c:v>
                </c:pt>
                <c:pt idx="33">
                  <c:v>3.5</c:v>
                </c:pt>
                <c:pt idx="34">
                  <c:v>4</c:v>
                </c:pt>
                <c:pt idx="35">
                  <c:v>3.5</c:v>
                </c:pt>
                <c:pt idx="36">
                  <c:v>4</c:v>
                </c:pt>
                <c:pt idx="37">
                  <c:v>4</c:v>
                </c:pt>
                <c:pt idx="38">
                  <c:v>3.5</c:v>
                </c:pt>
                <c:pt idx="39">
                  <c:v>4</c:v>
                </c:pt>
                <c:pt idx="40">
                  <c:v>4</c:v>
                </c:pt>
                <c:pt idx="41">
                  <c:v>3.5</c:v>
                </c:pt>
                <c:pt idx="42">
                  <c:v>4</c:v>
                </c:pt>
                <c:pt idx="43">
                  <c:v>3.5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3.5</c:v>
                </c:pt>
                <c:pt idx="49">
                  <c:v>4</c:v>
                </c:pt>
                <c:pt idx="50">
                  <c:v>4</c:v>
                </c:pt>
                <c:pt idx="51">
                  <c:v>3.5</c:v>
                </c:pt>
                <c:pt idx="52">
                  <c:v>3</c:v>
                </c:pt>
                <c:pt idx="53">
                  <c:v>2.5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3.5</c:v>
                </c:pt>
                <c:pt idx="58">
                  <c:v>4</c:v>
                </c:pt>
                <c:pt idx="59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C70-41FC-ABC6-A4F723C6AB5A}"/>
            </c:ext>
          </c:extLst>
        </c:ser>
        <c:ser>
          <c:idx val="0"/>
          <c:order val="6"/>
          <c:tx>
            <c:strRef>
              <c:f>'Horizontal Raincloud - 3 Clouds'!$R$26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'Horizontal Raincloud - 3 Clouds'!$R$32:$T$32</c:f>
                <c:numCache>
                  <c:formatCode>General</c:formatCode>
                  <c:ptCount val="3"/>
                  <c:pt idx="0">
                    <c:v>46.5</c:v>
                  </c:pt>
                  <c:pt idx="1">
                    <c:v>36.099999999999994</c:v>
                  </c:pt>
                  <c:pt idx="2">
                    <c:v>40.199999999999989</c:v>
                  </c:pt>
                </c:numCache>
              </c:numRef>
            </c:plus>
            <c:minus>
              <c:numRef>
                <c:f>'Horizontal Raincloud - 3 Clouds'!$R$33:$T$33</c:f>
                <c:numCache>
                  <c:formatCode>General</c:formatCode>
                  <c:ptCount val="3"/>
                  <c:pt idx="0">
                    <c:v>31.6</c:v>
                  </c:pt>
                  <c:pt idx="1">
                    <c:v>42.2</c:v>
                  </c:pt>
                  <c:pt idx="2">
                    <c:v>39.199999999999989</c:v>
                  </c:pt>
                </c:numCache>
              </c:numRef>
            </c:minus>
          </c:errBars>
          <c:xVal>
            <c:numRef>
              <c:f>'Horizontal Raincloud - 3 Clouds'!$Q$27:$Q$29</c:f>
              <c:numCache>
                <c:formatCode>General</c:formatCode>
                <c:ptCount val="3"/>
                <c:pt idx="0">
                  <c:v>43.5</c:v>
                </c:pt>
                <c:pt idx="1">
                  <c:v>155</c:v>
                </c:pt>
                <c:pt idx="2">
                  <c:v>250</c:v>
                </c:pt>
              </c:numCache>
            </c:numRef>
          </c:xVal>
          <c:yVal>
            <c:numRef>
              <c:f>'Horizontal Raincloud - 3 Clouds'!$R$27:$R$29</c:f>
              <c:numCache>
                <c:formatCode>General</c:formatCode>
                <c:ptCount val="3"/>
                <c:pt idx="0">
                  <c:v>2.5</c:v>
                </c:pt>
                <c:pt idx="1">
                  <c:v>3.5</c:v>
                </c:pt>
                <c:pt idx="2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C70-41FC-ABC6-A4F723C6A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5986864"/>
        <c:axId val="1505998928"/>
      </c:scatterChart>
      <c:catAx>
        <c:axId val="1506079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6067984"/>
        <c:crosses val="autoZero"/>
        <c:auto val="1"/>
        <c:lblAlgn val="ctr"/>
        <c:lblOffset val="100"/>
        <c:noMultiLvlLbl val="0"/>
      </c:catAx>
      <c:valAx>
        <c:axId val="1506067984"/>
        <c:scaling>
          <c:orientation val="minMax"/>
          <c:max val="3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6079632"/>
        <c:crosses val="autoZero"/>
        <c:crossBetween val="between"/>
      </c:valAx>
      <c:valAx>
        <c:axId val="1505998928"/>
        <c:scaling>
          <c:orientation val="minMax"/>
          <c:max val="5"/>
        </c:scaling>
        <c:delete val="1"/>
        <c:axPos val="r"/>
        <c:numFmt formatCode="General" sourceLinked="1"/>
        <c:majorTickMark val="out"/>
        <c:minorTickMark val="none"/>
        <c:tickLblPos val="nextTo"/>
        <c:crossAx val="1505986864"/>
        <c:crosses val="max"/>
        <c:crossBetween val="midCat"/>
      </c:valAx>
      <c:valAx>
        <c:axId val="1505986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05998928"/>
        <c:crosses val="autoZero"/>
        <c:crossBetween val="midCat"/>
      </c:valAx>
    </c:plotArea>
    <c:plotVisOnly val="1"/>
    <c:dispBlanksAs val="gap"/>
    <c:showDLblsOverMax val="0"/>
  </c:chart>
  <c:spPr>
    <a:ln>
      <a:noFill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'Horizontal Raincloud - 3 Clouds'!$R$26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'Horizontal Raincloud - 3 Clouds'!$Q$27:$Q$29</c:f>
              <c:numCache>
                <c:formatCode>General</c:formatCode>
                <c:ptCount val="3"/>
                <c:pt idx="0">
                  <c:v>43.5</c:v>
                </c:pt>
                <c:pt idx="1">
                  <c:v>155</c:v>
                </c:pt>
                <c:pt idx="2">
                  <c:v>250</c:v>
                </c:pt>
              </c:numCache>
            </c:numRef>
          </c:xVal>
          <c:yVal>
            <c:numRef>
              <c:f>'Horizontal Raincloud - 3 Clouds'!$R$27:$R$29</c:f>
              <c:numCache>
                <c:formatCode>General</c:formatCode>
                <c:ptCount val="3"/>
                <c:pt idx="0">
                  <c:v>2.5</c:v>
                </c:pt>
                <c:pt idx="1">
                  <c:v>3.5</c:v>
                </c:pt>
                <c:pt idx="2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F9-4F16-BFE4-A34A6178F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6079632"/>
        <c:axId val="1506067984"/>
      </c:scatterChart>
      <c:valAx>
        <c:axId val="150607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6067984"/>
        <c:crosses val="autoZero"/>
        <c:crossBetween val="midCat"/>
      </c:valAx>
      <c:valAx>
        <c:axId val="1506067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6079632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6</xdr:row>
      <xdr:rowOff>168378</xdr:rowOff>
    </xdr:from>
    <xdr:to>
      <xdr:col>6</xdr:col>
      <xdr:colOff>334433</xdr:colOff>
      <xdr:row>11</xdr:row>
      <xdr:rowOff>117475</xdr:rowOff>
    </xdr:to>
    <xdr:pic>
      <xdr:nvPicPr>
        <xdr:cNvPr id="2" name="Picture 1" descr="SP Logo 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7667" y="1533628"/>
          <a:ext cx="2048933" cy="7841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9</xdr:row>
      <xdr:rowOff>0</xdr:rowOff>
    </xdr:from>
    <xdr:to>
      <xdr:col>28</xdr:col>
      <xdr:colOff>269422</xdr:colOff>
      <xdr:row>27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D10B0A7-574B-8CD6-0BFC-64048E1CEC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20</xdr:col>
      <xdr:colOff>443592</xdr:colOff>
      <xdr:row>27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20E5120-25DD-E1B8-64EF-3E0F91BAA7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424543</xdr:colOff>
      <xdr:row>9</xdr:row>
      <xdr:rowOff>0</xdr:rowOff>
    </xdr:from>
    <xdr:to>
      <xdr:col>36</xdr:col>
      <xdr:colOff>114300</xdr:colOff>
      <xdr:row>27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2C2AEC-71A7-D61C-AF33-CBD662A85E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20</xdr:col>
      <xdr:colOff>383722</xdr:colOff>
      <xdr:row>46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FE95EF9-278A-4F0B-9F20-EDD2840439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9</xdr:row>
      <xdr:rowOff>0</xdr:rowOff>
    </xdr:from>
    <xdr:to>
      <xdr:col>20</xdr:col>
      <xdr:colOff>443592</xdr:colOff>
      <xdr:row>27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BF2E20C-2857-43B9-BB26-DBEC846F38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67235</xdr:colOff>
      <xdr:row>30</xdr:row>
      <xdr:rowOff>0</xdr:rowOff>
    </xdr:from>
    <xdr:to>
      <xdr:col>20</xdr:col>
      <xdr:colOff>450957</xdr:colOff>
      <xdr:row>48</xdr:row>
      <xdr:rowOff>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73D0B38-2B14-403B-8775-14C12F137A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156882</xdr:colOff>
      <xdr:row>9</xdr:row>
      <xdr:rowOff>69476</xdr:rowOff>
    </xdr:from>
    <xdr:to>
      <xdr:col>28</xdr:col>
      <xdr:colOff>493058</xdr:colOff>
      <xdr:row>26</xdr:row>
      <xdr:rowOff>145676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19ACF89-D927-3A40-9C6C-00550077A5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209550</xdr:colOff>
      <xdr:row>8</xdr:row>
      <xdr:rowOff>0</xdr:rowOff>
    </xdr:from>
    <xdr:to>
      <xdr:col>30</xdr:col>
      <xdr:colOff>0</xdr:colOff>
      <xdr:row>26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8EF6203-97D9-E528-93F2-F11AD0ED84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209550</xdr:colOff>
      <xdr:row>27</xdr:row>
      <xdr:rowOff>0</xdr:rowOff>
    </xdr:from>
    <xdr:to>
      <xdr:col>30</xdr:col>
      <xdr:colOff>0</xdr:colOff>
      <xdr:row>45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20A2831-1A06-9D02-673A-5494A66979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0</xdr:colOff>
      <xdr:row>27</xdr:row>
      <xdr:rowOff>0</xdr:rowOff>
    </xdr:from>
    <xdr:to>
      <xdr:col>37</xdr:col>
      <xdr:colOff>304800</xdr:colOff>
      <xdr:row>45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D3A80F5-83C5-D576-9760-50DC490890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295275</xdr:colOff>
      <xdr:row>27</xdr:row>
      <xdr:rowOff>4762</xdr:rowOff>
    </xdr:from>
    <xdr:to>
      <xdr:col>44</xdr:col>
      <xdr:colOff>600075</xdr:colOff>
      <xdr:row>45</xdr:row>
      <xdr:rowOff>4762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459B448-6FB8-F207-9826-FB79FC9843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209550</xdr:colOff>
      <xdr:row>46</xdr:row>
      <xdr:rowOff>0</xdr:rowOff>
    </xdr:from>
    <xdr:to>
      <xdr:col>30</xdr:col>
      <xdr:colOff>0</xdr:colOff>
      <xdr:row>64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38AC348E-0D18-4E66-9A36-6A7306CE63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209549</xdr:colOff>
      <xdr:row>65</xdr:row>
      <xdr:rowOff>21981</xdr:rowOff>
    </xdr:from>
    <xdr:to>
      <xdr:col>37</xdr:col>
      <xdr:colOff>0</xdr:colOff>
      <xdr:row>95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4DE4619-3F81-4ABD-85BA-168D2120A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0</xdr:colOff>
      <xdr:row>45</xdr:row>
      <xdr:rowOff>153865</xdr:rowOff>
    </xdr:from>
    <xdr:to>
      <xdr:col>37</xdr:col>
      <xdr:colOff>315058</xdr:colOff>
      <xdr:row>63</xdr:row>
      <xdr:rowOff>153865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C86BCF7E-1044-EBC9-677A-05F0FE86EC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079E3E-34E6-4270-B592-1414EBA147DC}" name="Percentile_Table" displayName="Percentile_Table" ref="I12:J19" totalsRowShown="0" tableBorderDxfId="24" totalsRowBorderDxfId="23" headerRowCellStyle="Table_Heading">
  <tableColumns count="2">
    <tableColumn id="1" xr3:uid="{78A5CB73-6FB8-4F65-A020-B92449168574}" name="Percentile" dataDxfId="22" dataCellStyle="Percent"/>
    <tableColumn id="2" xr3:uid="{966E9B7D-CC60-438F-BCA9-7468272EDEF3}" name="Percentile: Cloud 1" dataCellStyle="Parameter">
      <calculatedColumnFormula>PERCENTILE('Horizontal Raincloud Bar Cloud'!$D$10:$D$69,$I13)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B6491C-E8FD-4777-9E6C-182B7C46E726}" name="Cloud" displayName="Cloud" ref="D9:G69" totalsRowShown="0">
  <autoFilter ref="D9:G69" xr:uid="{A9B6491C-E8FD-4777-9E6C-182B7C46E726}"/>
  <tableColumns count="4">
    <tableColumn id="1" xr3:uid="{6DFF8485-D142-4F36-91B2-6BF4F635299E}" name="Cloud 1" dataCellStyle="Assumption"/>
    <tableColumn id="2" xr3:uid="{4B2B93CD-E008-4D4E-A5B5-4CA5D44E90D8}" name="Cloud 1 Sorted" dataDxfId="21" dataCellStyle="Parameter">
      <calculatedColumnFormula>SMALL(Cloud[Cloud 1],COUNTA(Cloud[[#Headers],[Cloud 1]]:Cloud[[#This Row],[Cloud 1]])-1)</calculatedColumnFormula>
    </tableColumn>
    <tableColumn id="3" xr3:uid="{4954E2B2-498D-4375-8438-40963BC3F4D2}" name="Cloud 1: 1st position" dataDxfId="20" dataCellStyle="Parameter">
      <calculatedColumnFormula>COUNTIF(Cloud[[#Headers],[Cloud 1 Sorted]]:Cloud[[#This Row],[Cloud 1 Sorted]],Cloud[[#This Row],[Cloud 1 Sorted]])</calculatedColumnFormula>
    </tableColumn>
    <tableColumn id="4" xr3:uid="{C43286D2-03FD-4B85-B778-4693A34522A4}" name="Cloud 1: X-position" dataDxfId="19" dataCellStyle="Parameter">
      <calculatedColumnFormula>IF(Cloud[[#This Row],[Cloud 1: 1st position]]=1,J$9,G9+J$10)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CBD705-284C-470E-8264-F86F935F0F3D}" name="Cloud6" displayName="Cloud6" ref="D9:G137" totalsRowShown="0">
  <autoFilter ref="D9:G137" xr:uid="{A9B6491C-E8FD-4777-9E6C-182B7C46E726}"/>
  <tableColumns count="4">
    <tableColumn id="1" xr3:uid="{62CB6C50-3348-4104-A252-98626A0987E4}" name="Cloud 1" dataCellStyle="Assumption">
      <calculatedColumnFormula>RANDBETWEEN(1,100)</calculatedColumnFormula>
    </tableColumn>
    <tableColumn id="2" xr3:uid="{82CAA5E8-0212-488D-BBB5-AE2F345E7657}" name="Cloud 1 Sorted" dataDxfId="18" dataCellStyle="Parameter">
      <calculatedColumnFormula>SMALL(Cloud6[Cloud 1],COUNTA(Cloud6[[#Headers],[Cloud 1]]:Cloud6[[#This Row],[Cloud 1]])-1)</calculatedColumnFormula>
    </tableColumn>
    <tableColumn id="3" xr3:uid="{FD9FD254-942A-495E-BC0E-698A7E918B15}" name="Cloud 1: 1st position" dataDxfId="17" dataCellStyle="Parameter">
      <calculatedColumnFormula>COUNTIF(Cloud6[[#Headers],[Cloud 1 Sorted]]:Cloud6[[#This Row],[Cloud 1 Sorted]],Cloud6[[#This Row],[Cloud 1 Sorted]])</calculatedColumnFormula>
    </tableColumn>
    <tableColumn id="4" xr3:uid="{F433F10C-9224-4786-B299-A66FEB9B376D}" name="Cloud 1: X-position" dataDxfId="16" dataCellStyle="Parameter">
      <calculatedColumnFormula>IF(Cloud6[[#This Row],[Cloud 1: 1st position]]=1,J$9,G9+J$10)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9905B2-7B38-416E-98D2-71C36FC0268E}" name="Clouds" displayName="Clouds" ref="D9:F69" totalsRowShown="0" headerRowCellStyle="Table_Heading">
  <autoFilter ref="D9:F69" xr:uid="{949905B2-7B38-416E-98D2-71C36FC0268E}"/>
  <sortState xmlns:xlrd2="http://schemas.microsoft.com/office/spreadsheetml/2017/richdata2" ref="D10:O69">
    <sortCondition ref="F9:F69"/>
  </sortState>
  <tableColumns count="3">
    <tableColumn id="1" xr3:uid="{EDF26F14-4357-4DEF-9D4C-0613C1E3F63E}" name="Cloud 1" dataCellStyle="Assumption"/>
    <tableColumn id="2" xr3:uid="{6AE40CCC-33C1-4E1C-BA67-88638E25DA43}" name="Cloud 2" dataCellStyle="Assumption"/>
    <tableColumn id="3" xr3:uid="{8F492A65-2345-46D7-B254-2EFCEE21254E}" name="Cloud 3" dataCellStyle="Assumption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01A5E56-F738-4BA8-BF64-2834F6E23102}" name="Percentile_Tables" displayName="Percentile_Tables" ref="Q12:T19" totalsRowShown="0" headerRowDxfId="15" headerRowBorderDxfId="14" tableBorderDxfId="13" totalsRowBorderDxfId="12" headerRowCellStyle="Table_Heading">
  <tableColumns count="4">
    <tableColumn id="1" xr3:uid="{A60949BF-86F3-4B63-BFB0-C2371F0736FF}" name="Percentile" dataDxfId="11" dataCellStyle="Percent"/>
    <tableColumn id="2" xr3:uid="{99097A4C-F228-421F-A0F8-26706F972890}" name="Percentile: Cloud 1" dataCellStyle="Parameter">
      <calculatedColumnFormula>PERCENTILE(Clouds[Cloud 1],$Q13)</calculatedColumnFormula>
    </tableColumn>
    <tableColumn id="3" xr3:uid="{D01E2222-CD94-49EB-8393-376F188B3B00}" name="Percentile: Cloud 2" dataCellStyle="Parameter">
      <calculatedColumnFormula>PERCENTILE(Clouds[Cloud 2],$Q13)</calculatedColumnFormula>
    </tableColumn>
    <tableColumn id="4" xr3:uid="{A46B80E6-EF37-4600-94C7-8F5E88487A15}" name="Percentile: Cloud 3" dataCellStyle="Parameter">
      <calculatedColumnFormula>PERCENTILE(Clouds[Cloud 3],$Q13)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F016159-787C-4BCD-8F5D-ED5BE802A8E9}" name="Table8" displayName="Table8" ref="J9:O69" totalsRowShown="0" tableBorderDxfId="10" headerRowCellStyle="Table_Heading" dataCellStyle="Parameter">
  <tableColumns count="6">
    <tableColumn id="1" xr3:uid="{F73838EB-49C7-45E4-83D1-34D6ACF9F1B1}" name="Cloud 1: 1st position" dataCellStyle="Parameter">
      <calculatedColumnFormula>COUNTIF(G$10:G10,G10)</calculatedColumnFormula>
    </tableColumn>
    <tableColumn id="2" xr3:uid="{DB85AAFB-F40C-4B47-8D0A-7505188AF024}" name="Cloud 2: 1st position" dataCellStyle="Parameter">
      <calculatedColumnFormula>COUNTIF(H$10:H10,H10)</calculatedColumnFormula>
    </tableColumn>
    <tableColumn id="3" xr3:uid="{561AADE2-66D2-416F-A756-4D0921AF0E50}" name="Cloud 3: 1st position" dataCellStyle="Parameter">
      <calculatedColumnFormula>COUNTIF(I$10:I10,I10)</calculatedColumnFormula>
    </tableColumn>
    <tableColumn id="4" xr3:uid="{0522B818-8B9D-487D-AA80-951FCE3C4DF0}" name="Cloud 1: X-position" dataCellStyle="Parameter">
      <calculatedColumnFormula>IF(J10=1,R$9,M9+R$10)</calculatedColumnFormula>
    </tableColumn>
    <tableColumn id="5" xr3:uid="{9F928206-5AB3-4B08-8A71-6FAAC5D9BD3F}" name="Cloud 2: X-position" dataCellStyle="Parameter">
      <calculatedColumnFormula>IF(K10=1,S$9,N9+S$10)</calculatedColumnFormula>
    </tableColumn>
    <tableColumn id="6" xr3:uid="{257DEB0F-C248-4A86-B652-932950F1F971}" name="Cloud 3: X-position" dataCellStyle="Parameter">
      <calculatedColumnFormula>IF(L10=1,T$9,O9+T$10)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sumproduct.com/" TargetMode="External"/><Relationship Id="rId1" Type="http://schemas.openxmlformats.org/officeDocument/2006/relationships/hyperlink" Target="mailto:Sam.Ngo@sumproduct.co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2"/>
  <sheetViews>
    <sheetView showGridLines="0" zoomScaleNormal="100" workbookViewId="0"/>
  </sheetViews>
  <sheetFormatPr defaultRowHeight="12" x14ac:dyDescent="0.2"/>
  <cols>
    <col min="3" max="4" width="3.7109375" customWidth="1"/>
  </cols>
  <sheetData>
    <row r="1" spans="1:19" x14ac:dyDescent="0.2">
      <c r="A1" s="11"/>
    </row>
    <row r="3" spans="1:19" x14ac:dyDescent="0.2">
      <c r="A3" s="11" t="s">
        <v>1</v>
      </c>
    </row>
    <row r="5" spans="1:19" ht="20.25" x14ac:dyDescent="0.3">
      <c r="C5" s="40" t="str">
        <f>Client_Name</f>
        <v>SumProduct Pty Limited</v>
      </c>
      <c r="D5" s="7"/>
      <c r="E5" s="7"/>
      <c r="F5" s="7"/>
      <c r="G5" s="7"/>
      <c r="H5" s="7"/>
      <c r="I5" s="7"/>
      <c r="J5" s="7"/>
    </row>
    <row r="6" spans="1:19" ht="18" x14ac:dyDescent="0.25">
      <c r="C6" s="41" t="str">
        <f ca="1">Model_Name</f>
        <v>SP Horizontal RainCloud Chart - Complete.xlsm</v>
      </c>
      <c r="D6" s="7"/>
      <c r="E6" s="7"/>
      <c r="F6" s="7"/>
      <c r="G6" s="7"/>
      <c r="H6" s="7"/>
      <c r="I6" s="7"/>
      <c r="J6" s="7"/>
    </row>
    <row r="7" spans="1:19" ht="12.75" x14ac:dyDescent="0.2">
      <c r="C7" s="7"/>
      <c r="D7" s="7"/>
      <c r="E7" s="7"/>
      <c r="F7" s="7"/>
      <c r="G7" s="7"/>
      <c r="H7" s="7"/>
      <c r="I7" s="7"/>
      <c r="J7" s="7"/>
    </row>
    <row r="8" spans="1:19" ht="12.75" x14ac:dyDescent="0.2">
      <c r="C8" s="7"/>
      <c r="D8" s="7"/>
      <c r="E8" s="7"/>
      <c r="F8" s="7"/>
      <c r="G8" s="7"/>
      <c r="H8" s="7"/>
      <c r="I8" s="7"/>
      <c r="J8" s="7"/>
    </row>
    <row r="9" spans="1:19" ht="12.75" x14ac:dyDescent="0.2">
      <c r="C9" s="7"/>
      <c r="D9" s="7"/>
      <c r="E9" s="7"/>
      <c r="F9" s="7"/>
      <c r="G9" s="7"/>
      <c r="H9" s="7"/>
      <c r="I9" s="7"/>
      <c r="J9" s="7"/>
    </row>
    <row r="10" spans="1:19" ht="12.75" x14ac:dyDescent="0.2">
      <c r="C10" s="7"/>
      <c r="D10" s="7"/>
      <c r="E10" s="7"/>
      <c r="F10" s="7"/>
      <c r="G10" s="7"/>
      <c r="H10" s="7"/>
      <c r="I10" s="7"/>
      <c r="J10" s="7"/>
    </row>
    <row r="11" spans="1:19" ht="15" x14ac:dyDescent="0.25">
      <c r="C11" s="7"/>
      <c r="D11" s="7"/>
      <c r="E11" s="7"/>
      <c r="F11" s="7"/>
      <c r="G11" s="7"/>
      <c r="H11" s="7"/>
      <c r="I11" s="7"/>
      <c r="J11" s="7"/>
      <c r="S11" s="38"/>
    </row>
    <row r="12" spans="1:19" ht="12.75" x14ac:dyDescent="0.2">
      <c r="C12" s="7"/>
      <c r="D12" s="7"/>
      <c r="E12" s="7"/>
      <c r="F12" s="7"/>
      <c r="G12" s="7"/>
      <c r="H12" s="7"/>
      <c r="I12" s="7"/>
      <c r="J12" s="7"/>
    </row>
    <row r="13" spans="1:19" ht="12.75" x14ac:dyDescent="0.2">
      <c r="C13" s="7"/>
      <c r="D13" s="7"/>
      <c r="E13" s="7"/>
      <c r="F13" s="7"/>
      <c r="G13" s="7"/>
      <c r="H13" s="7"/>
      <c r="I13" s="7"/>
      <c r="J13" s="7"/>
    </row>
    <row r="14" spans="1:19" ht="12.75" x14ac:dyDescent="0.2">
      <c r="C14" s="8" t="s">
        <v>70</v>
      </c>
      <c r="D14" s="9"/>
      <c r="E14" s="7"/>
      <c r="F14" s="7"/>
      <c r="G14" s="7"/>
      <c r="H14" s="7"/>
      <c r="I14" s="7"/>
      <c r="J14" s="7"/>
    </row>
    <row r="15" spans="1:19" ht="12.75" x14ac:dyDescent="0.2">
      <c r="C15" s="9"/>
      <c r="D15" s="9"/>
      <c r="E15" s="7"/>
      <c r="F15" s="7"/>
      <c r="G15" s="7"/>
      <c r="H15" s="7"/>
      <c r="I15" s="7"/>
      <c r="J15" s="7"/>
    </row>
    <row r="16" spans="1:19" ht="12.75" x14ac:dyDescent="0.2">
      <c r="C16" s="8" t="s">
        <v>19</v>
      </c>
      <c r="D16" s="9"/>
      <c r="E16" s="7"/>
      <c r="F16" s="7"/>
      <c r="G16" s="7"/>
      <c r="H16" s="7"/>
      <c r="I16" s="7"/>
      <c r="J16" s="7"/>
    </row>
    <row r="17" spans="3:10" ht="12.75" x14ac:dyDescent="0.2">
      <c r="C17" s="77" t="s">
        <v>105</v>
      </c>
      <c r="D17" s="77"/>
      <c r="E17" s="77"/>
      <c r="F17" s="77"/>
      <c r="G17" s="77"/>
      <c r="H17" s="77"/>
      <c r="I17" s="77"/>
      <c r="J17" s="77"/>
    </row>
    <row r="18" spans="3:10" ht="12.75" x14ac:dyDescent="0.2">
      <c r="C18" s="77"/>
      <c r="D18" s="77"/>
      <c r="E18" s="77"/>
      <c r="F18" s="77"/>
      <c r="G18" s="77"/>
      <c r="H18" s="77"/>
      <c r="I18" s="77"/>
      <c r="J18" s="77"/>
    </row>
    <row r="19" spans="3:10" ht="12.75" x14ac:dyDescent="0.2">
      <c r="C19" s="10"/>
      <c r="D19" s="9"/>
      <c r="E19" s="7"/>
      <c r="F19" s="7"/>
      <c r="G19" s="7"/>
      <c r="H19" s="7"/>
      <c r="I19" s="7"/>
      <c r="J19" s="7"/>
    </row>
    <row r="20" spans="3:10" ht="12.75" x14ac:dyDescent="0.2">
      <c r="C20" s="10"/>
      <c r="D20" s="9"/>
      <c r="E20" s="7"/>
      <c r="F20" s="7"/>
      <c r="G20" s="7"/>
      <c r="H20" s="7"/>
      <c r="I20" s="7"/>
      <c r="J20" s="7"/>
    </row>
    <row r="21" spans="3:10" ht="12.75" x14ac:dyDescent="0.2">
      <c r="C21" s="10" t="s">
        <v>20</v>
      </c>
      <c r="D21" s="9"/>
      <c r="E21" s="7"/>
      <c r="F21" s="7"/>
      <c r="G21" s="78" t="s">
        <v>71</v>
      </c>
      <c r="H21" s="78"/>
      <c r="I21" s="78"/>
      <c r="J21" s="7"/>
    </row>
    <row r="22" spans="3:10" ht="12.75" x14ac:dyDescent="0.2">
      <c r="C22" s="10" t="s">
        <v>21</v>
      </c>
      <c r="D22" s="9"/>
      <c r="E22" s="7"/>
      <c r="F22" s="7"/>
      <c r="G22" s="78" t="s">
        <v>22</v>
      </c>
      <c r="H22" s="78"/>
      <c r="I22" s="78"/>
      <c r="J22" s="7"/>
    </row>
  </sheetData>
  <mergeCells count="4">
    <mergeCell ref="C17:J17"/>
    <mergeCell ref="C18:J18"/>
    <mergeCell ref="G21:I21"/>
    <mergeCell ref="G22:I22"/>
  </mergeCells>
  <hyperlinks>
    <hyperlink ref="G21" r:id="rId1" xr:uid="{00000000-0004-0000-0000-000000000000}"/>
    <hyperlink ref="G22" r:id="rId2" xr:uid="{00000000-0004-0000-0000-000001000000}"/>
    <hyperlink ref="A3" location="HL_Navigator" display="Navigator" xr:uid="{00000000-0004-0000-0000-000002000000}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6"/>
  <sheetViews>
    <sheetView showGridLines="0" zoomScaleNormal="100" workbookViewId="0">
      <pane ySplit="4" topLeftCell="A5" activePane="bottomLeft" state="frozen"/>
      <selection pane="bottomLeft" activeCell="A5" sqref="A5"/>
    </sheetView>
  </sheetViews>
  <sheetFormatPr defaultRowHeight="12" x14ac:dyDescent="0.2"/>
  <cols>
    <col min="1" max="5" width="3.7109375" customWidth="1"/>
    <col min="6" max="6" width="17.7109375" customWidth="1"/>
  </cols>
  <sheetData>
    <row r="1" spans="1:12" ht="20.25" x14ac:dyDescent="0.3">
      <c r="A1" s="40" t="s">
        <v>1</v>
      </c>
      <c r="F1" s="12"/>
      <c r="G1" s="12"/>
    </row>
    <row r="2" spans="1:12" ht="18" x14ac:dyDescent="0.25">
      <c r="A2" s="41" t="str">
        <f ca="1">Model_Name</f>
        <v>SP Horizontal RainCloud Chart - Complete.xlsm</v>
      </c>
    </row>
    <row r="3" spans="1:12" x14ac:dyDescent="0.2">
      <c r="A3" s="11" t="s">
        <v>1</v>
      </c>
      <c r="B3" s="11"/>
      <c r="C3" s="11"/>
      <c r="D3" s="11"/>
      <c r="E3" s="11"/>
    </row>
    <row r="4" spans="1:12" ht="14.25" x14ac:dyDescent="0.2">
      <c r="E4" t="s">
        <v>2</v>
      </c>
      <c r="G4" s="24">
        <f>Overall_Error_Check</f>
        <v>0</v>
      </c>
    </row>
    <row r="7" spans="1:12" ht="16.5" thickBot="1" x14ac:dyDescent="0.3">
      <c r="B7" s="42">
        <v>1</v>
      </c>
      <c r="C7" s="42" t="s">
        <v>23</v>
      </c>
      <c r="D7" s="42"/>
      <c r="E7" s="42"/>
      <c r="F7" s="42"/>
      <c r="G7" s="42"/>
      <c r="H7" s="42"/>
      <c r="I7" s="42"/>
      <c r="J7" s="42"/>
      <c r="K7" s="42"/>
      <c r="L7" s="42"/>
    </row>
    <row r="8" spans="1:12" ht="12.75" thickTop="1" x14ac:dyDescent="0.2"/>
    <row r="9" spans="1:12" x14ac:dyDescent="0.2">
      <c r="F9" s="11" t="s">
        <v>24</v>
      </c>
    </row>
    <row r="10" spans="1:12" x14ac:dyDescent="0.2">
      <c r="F10" s="11" t="s">
        <v>25</v>
      </c>
    </row>
    <row r="11" spans="1:12" x14ac:dyDescent="0.2">
      <c r="F11" s="11" t="s">
        <v>0</v>
      </c>
    </row>
    <row r="12" spans="1:12" x14ac:dyDescent="0.2">
      <c r="F12" s="11" t="s">
        <v>103</v>
      </c>
    </row>
    <row r="13" spans="1:12" x14ac:dyDescent="0.2">
      <c r="F13" s="11" t="s">
        <v>104</v>
      </c>
    </row>
    <row r="14" spans="1:12" x14ac:dyDescent="0.2">
      <c r="F14" s="11" t="s">
        <v>64</v>
      </c>
    </row>
    <row r="15" spans="1:12" x14ac:dyDescent="0.2">
      <c r="F15" s="11"/>
    </row>
    <row r="16" spans="1:12" x14ac:dyDescent="0.2">
      <c r="F16" s="11"/>
    </row>
  </sheetData>
  <conditionalFormatting sqref="G4">
    <cfRule type="cellIs" dxfId="9" priority="1" operator="equal">
      <formula>1</formula>
    </cfRule>
  </conditionalFormatting>
  <hyperlinks>
    <hyperlink ref="A3:E3" location="HL_Navigator" tooltip="Go to Navigator (Table of Contents)" display="Navigator" xr:uid="{00000000-0004-0000-0100-000000000000}"/>
    <hyperlink ref="F9" location="HL_1" display="Cover" xr:uid="{A4B6353E-087C-4842-8D51-287E239C61ED}"/>
    <hyperlink ref="F10" location="HL_3" display="Style Guide" xr:uid="{429C8BB5-D297-4C2E-A1C4-989A360A9D47}"/>
    <hyperlink ref="F11" location="HL_4" display="Model Parameters" xr:uid="{0D293896-3B0A-4026-84CB-D884F3E59954}"/>
    <hyperlink ref="F12" location="HL_5" display="Horizontal Raincloud - 1 Cloud" xr:uid="{53828890-5FBF-47C6-A68F-A39895CC9571}"/>
    <hyperlink ref="F13" location="HL_6" display="Horizontal Raincloud - 3 Clouds" xr:uid="{4F69D134-1210-4A96-BB14-04E20CD289F1}"/>
    <hyperlink ref="F14" location="HL_7" display="Error Checks" xr:uid="{8208D811-E3E7-46D8-8669-31B0630D24E3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/>
  </sheetPr>
  <dimension ref="A1:O81"/>
  <sheetViews>
    <sheetView showGridLines="0" zoomScaleNormal="100" workbookViewId="0">
      <pane ySplit="4" topLeftCell="A5" activePane="bottomLeft" state="frozen"/>
      <selection activeCell="A5" sqref="A5"/>
      <selection pane="bottomLeft" activeCell="A3" sqref="A3:E3"/>
    </sheetView>
  </sheetViews>
  <sheetFormatPr defaultColWidth="0" defaultRowHeight="12" outlineLevelRow="1" x14ac:dyDescent="0.2"/>
  <cols>
    <col min="1" max="5" width="3.7109375" customWidth="1"/>
    <col min="6" max="7" width="9.140625" customWidth="1"/>
    <col min="8" max="8" width="1.7109375" customWidth="1"/>
    <col min="9" max="9" width="17.28515625" bestFit="1" customWidth="1"/>
    <col min="10" max="10" width="1.7109375" customWidth="1"/>
    <col min="11" max="11" width="23.42578125" customWidth="1"/>
    <col min="12" max="13" width="9.140625" customWidth="1"/>
    <col min="14" max="14" width="1.7109375" customWidth="1"/>
    <col min="15" max="15" width="0" hidden="1" customWidth="1"/>
    <col min="16" max="16384" width="9.140625" hidden="1"/>
  </cols>
  <sheetData>
    <row r="1" spans="1:13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Style Guide</v>
      </c>
      <c r="K1" s="11"/>
    </row>
    <row r="2" spans="1:13" ht="18" x14ac:dyDescent="0.25">
      <c r="A2" s="41" t="str">
        <f ca="1">Model_Name</f>
        <v>SP Horizontal RainCloud Chart - Complete.xlsm</v>
      </c>
    </row>
    <row r="3" spans="1:13" x14ac:dyDescent="0.2">
      <c r="A3" s="78" t="s">
        <v>1</v>
      </c>
      <c r="B3" s="78"/>
      <c r="C3" s="78"/>
      <c r="D3" s="78"/>
      <c r="E3" s="78"/>
    </row>
    <row r="4" spans="1:13" ht="14.25" x14ac:dyDescent="0.2">
      <c r="E4" t="s">
        <v>2</v>
      </c>
      <c r="I4" s="1">
        <f>Overall_Error_Check</f>
        <v>0</v>
      </c>
    </row>
    <row r="5" spans="1:13" x14ac:dyDescent="0.2">
      <c r="A5" s="11"/>
    </row>
    <row r="6" spans="1:13" ht="16.5" thickBot="1" x14ac:dyDescent="0.3">
      <c r="B6" s="42">
        <f>MAX($B$5:$B5)+1</f>
        <v>1</v>
      </c>
      <c r="C6" s="2" t="s">
        <v>26</v>
      </c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ht="12.75" outlineLevel="1" thickTop="1" x14ac:dyDescent="0.2"/>
    <row r="8" spans="1:13" outlineLevel="1" x14ac:dyDescent="0.2">
      <c r="C8" s="80" t="s">
        <v>27</v>
      </c>
      <c r="D8" s="80"/>
      <c r="E8" s="80"/>
      <c r="F8" s="80"/>
      <c r="G8" s="80"/>
      <c r="H8" s="13"/>
      <c r="I8" s="13" t="s">
        <v>28</v>
      </c>
      <c r="J8" s="13"/>
      <c r="K8" s="13" t="s">
        <v>29</v>
      </c>
    </row>
    <row r="9" spans="1:13" outlineLevel="1" x14ac:dyDescent="0.2">
      <c r="C9" s="79"/>
      <c r="D9" s="79"/>
      <c r="E9" s="79"/>
      <c r="F9" s="79"/>
      <c r="G9" s="79"/>
      <c r="K9" s="17"/>
    </row>
    <row r="10" spans="1:13" ht="20.25" outlineLevel="1" x14ac:dyDescent="0.3">
      <c r="C10" s="79" t="s">
        <v>30</v>
      </c>
      <c r="D10" s="79"/>
      <c r="E10" s="79"/>
      <c r="F10" s="79"/>
      <c r="G10" s="79"/>
      <c r="I10" s="14" t="str">
        <f>C10</f>
        <v>Sheet Title</v>
      </c>
      <c r="K10" s="15" t="s">
        <v>30</v>
      </c>
    </row>
    <row r="11" spans="1:13" ht="18" outlineLevel="1" x14ac:dyDescent="0.25">
      <c r="C11" s="79" t="s">
        <v>5</v>
      </c>
      <c r="D11" s="79"/>
      <c r="E11" s="79"/>
      <c r="F11" s="79"/>
      <c r="G11" s="79"/>
      <c r="I11" s="16" t="str">
        <f>C11</f>
        <v>Model Name</v>
      </c>
      <c r="K11" s="15" t="s">
        <v>5</v>
      </c>
    </row>
    <row r="12" spans="1:13" outlineLevel="1" x14ac:dyDescent="0.2">
      <c r="C12" s="79"/>
      <c r="D12" s="79"/>
      <c r="E12" s="79"/>
      <c r="F12" s="79"/>
      <c r="G12" s="79"/>
      <c r="K12" s="17"/>
    </row>
    <row r="13" spans="1:13" ht="16.5" outlineLevel="1" thickBot="1" x14ac:dyDescent="0.3">
      <c r="C13" s="79" t="s">
        <v>31</v>
      </c>
      <c r="D13" s="79"/>
      <c r="E13" s="79"/>
      <c r="F13" s="79"/>
      <c r="G13" s="79"/>
      <c r="I13" s="39" t="str">
        <f>C13</f>
        <v>Header 1</v>
      </c>
      <c r="K13" s="15" t="s">
        <v>31</v>
      </c>
    </row>
    <row r="14" spans="1:13" ht="17.25" outlineLevel="1" thickTop="1" x14ac:dyDescent="0.25">
      <c r="C14" s="79" t="s">
        <v>32</v>
      </c>
      <c r="D14" s="79"/>
      <c r="E14" s="79"/>
      <c r="F14" s="79"/>
      <c r="G14" s="79"/>
      <c r="I14" s="3" t="str">
        <f>C14</f>
        <v>Header 2</v>
      </c>
      <c r="K14" s="15" t="s">
        <v>32</v>
      </c>
    </row>
    <row r="15" spans="1:13" ht="15" outlineLevel="1" x14ac:dyDescent="0.25">
      <c r="C15" s="79" t="s">
        <v>33</v>
      </c>
      <c r="D15" s="79"/>
      <c r="E15" s="79"/>
      <c r="F15" s="79"/>
      <c r="G15" s="79"/>
      <c r="I15" s="4" t="str">
        <f>C15</f>
        <v>Header 3</v>
      </c>
      <c r="K15" s="15" t="s">
        <v>33</v>
      </c>
    </row>
    <row r="16" spans="1:13" ht="15" outlineLevel="1" x14ac:dyDescent="0.25">
      <c r="C16" s="79" t="s">
        <v>34</v>
      </c>
      <c r="D16" s="79"/>
      <c r="E16" s="79"/>
      <c r="F16" s="79"/>
      <c r="G16" s="79"/>
      <c r="I16" s="18" t="str">
        <f>C16</f>
        <v>Header 4</v>
      </c>
      <c r="K16" s="15" t="s">
        <v>34</v>
      </c>
    </row>
    <row r="17" spans="2:14" outlineLevel="1" x14ac:dyDescent="0.2">
      <c r="C17" s="79"/>
      <c r="D17" s="79"/>
      <c r="E17" s="79"/>
      <c r="F17" s="79"/>
      <c r="G17" s="79"/>
      <c r="K17" s="17"/>
    </row>
    <row r="18" spans="2:14" ht="15" outlineLevel="1" x14ac:dyDescent="0.25">
      <c r="C18" s="79" t="s">
        <v>35</v>
      </c>
      <c r="D18" s="79"/>
      <c r="E18" s="79"/>
      <c r="F18" s="79"/>
      <c r="G18" s="79"/>
      <c r="I18" s="19" t="str">
        <f>C18</f>
        <v>Notes</v>
      </c>
      <c r="K18" s="15" t="s">
        <v>35</v>
      </c>
    </row>
    <row r="19" spans="2:14" outlineLevel="1" x14ac:dyDescent="0.2">
      <c r="C19" s="79"/>
      <c r="D19" s="79"/>
      <c r="E19" s="79"/>
      <c r="F19" s="79"/>
      <c r="G19" s="79"/>
      <c r="K19" s="17"/>
      <c r="N19" s="19"/>
    </row>
    <row r="20" spans="2:14" ht="15" outlineLevel="1" x14ac:dyDescent="0.25">
      <c r="C20" s="79" t="s">
        <v>36</v>
      </c>
      <c r="D20" s="79"/>
      <c r="E20" s="79"/>
      <c r="F20" s="79"/>
      <c r="G20" s="79"/>
      <c r="I20" s="13" t="str">
        <f>C20</f>
        <v>Table Heading</v>
      </c>
      <c r="K20" s="15" t="s">
        <v>36</v>
      </c>
    </row>
    <row r="21" spans="2:14" outlineLevel="1" x14ac:dyDescent="0.2"/>
    <row r="22" spans="2:14" outlineLevel="1" x14ac:dyDescent="0.2"/>
    <row r="23" spans="2:14" ht="16.5" thickBot="1" x14ac:dyDescent="0.3">
      <c r="B23" s="42">
        <f>MAX($B$5:$B22)+1</f>
        <v>2</v>
      </c>
      <c r="C23" s="2" t="s">
        <v>37</v>
      </c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2:14" ht="12.75" outlineLevel="1" thickTop="1" x14ac:dyDescent="0.2"/>
    <row r="25" spans="2:14" outlineLevel="1" x14ac:dyDescent="0.2">
      <c r="C25" s="80" t="s">
        <v>27</v>
      </c>
      <c r="D25" s="80"/>
      <c r="E25" s="80"/>
      <c r="F25" s="80"/>
      <c r="G25" s="80"/>
      <c r="H25" s="13"/>
      <c r="I25" s="13" t="s">
        <v>28</v>
      </c>
      <c r="J25" s="13"/>
      <c r="K25" s="13" t="s">
        <v>29</v>
      </c>
    </row>
    <row r="26" spans="2:14" ht="15" outlineLevel="1" x14ac:dyDescent="0.25">
      <c r="C26" s="79"/>
      <c r="D26" s="79"/>
      <c r="E26" s="79"/>
      <c r="F26" s="79"/>
      <c r="G26" s="79"/>
      <c r="K26" s="15"/>
    </row>
    <row r="27" spans="2:14" ht="15" outlineLevel="1" x14ac:dyDescent="0.25">
      <c r="C27" s="79" t="s">
        <v>38</v>
      </c>
      <c r="D27" s="79"/>
      <c r="E27" s="79"/>
      <c r="F27" s="79"/>
      <c r="G27" s="79"/>
      <c r="I27" s="20" t="s">
        <v>38</v>
      </c>
      <c r="K27" s="21" t="str">
        <f>C27</f>
        <v>Assumption</v>
      </c>
    </row>
    <row r="28" spans="2:14" ht="15" outlineLevel="1" x14ac:dyDescent="0.25">
      <c r="C28" s="79"/>
      <c r="D28" s="79"/>
      <c r="E28" s="79"/>
      <c r="F28" s="79"/>
      <c r="G28" s="79"/>
      <c r="K28" s="21"/>
    </row>
    <row r="29" spans="2:14" ht="15" outlineLevel="1" x14ac:dyDescent="0.25">
      <c r="C29" s="79" t="s">
        <v>39</v>
      </c>
      <c r="D29" s="79"/>
      <c r="E29" s="79"/>
      <c r="F29" s="79"/>
      <c r="G29" s="79"/>
      <c r="I29" s="22" t="str">
        <f>C29</f>
        <v>Constraint</v>
      </c>
      <c r="K29" s="21" t="str">
        <f>C29</f>
        <v>Constraint</v>
      </c>
    </row>
    <row r="30" spans="2:14" ht="15" outlineLevel="1" x14ac:dyDescent="0.25">
      <c r="C30" s="79"/>
      <c r="D30" s="79"/>
      <c r="E30" s="79"/>
      <c r="F30" s="79"/>
      <c r="G30" s="79"/>
      <c r="K30" s="21"/>
    </row>
    <row r="31" spans="2:14" ht="15" outlineLevel="1" x14ac:dyDescent="0.25">
      <c r="C31" s="79" t="s">
        <v>40</v>
      </c>
      <c r="D31" s="79"/>
      <c r="E31" s="79"/>
      <c r="F31" s="79"/>
      <c r="G31" s="79"/>
      <c r="I31" s="23"/>
      <c r="K31" s="21" t="str">
        <f>C31</f>
        <v>Empty</v>
      </c>
    </row>
    <row r="32" spans="2:14" ht="15" outlineLevel="1" x14ac:dyDescent="0.25">
      <c r="C32" s="79"/>
      <c r="D32" s="79"/>
      <c r="E32" s="79"/>
      <c r="F32" s="79"/>
      <c r="G32" s="79"/>
      <c r="K32" s="21"/>
    </row>
    <row r="33" spans="3:11" ht="15" outlineLevel="1" x14ac:dyDescent="0.25">
      <c r="C33" t="s">
        <v>41</v>
      </c>
      <c r="I33" s="24">
        <v>0</v>
      </c>
      <c r="K33" s="21" t="str">
        <f>C33</f>
        <v>Error Check</v>
      </c>
    </row>
    <row r="34" spans="3:11" ht="15" outlineLevel="1" x14ac:dyDescent="0.25">
      <c r="K34" s="21"/>
    </row>
    <row r="35" spans="3:11" ht="15" outlineLevel="1" x14ac:dyDescent="0.25">
      <c r="C35" s="79" t="s">
        <v>42</v>
      </c>
      <c r="D35" s="79"/>
      <c r="E35" s="79"/>
      <c r="F35" s="79"/>
      <c r="G35" s="79"/>
      <c r="I35" s="11" t="s">
        <v>42</v>
      </c>
      <c r="K35" s="21" t="str">
        <f>C35</f>
        <v>Hyperlink</v>
      </c>
    </row>
    <row r="36" spans="3:11" ht="15" outlineLevel="1" x14ac:dyDescent="0.25">
      <c r="C36" s="79"/>
      <c r="D36" s="79"/>
      <c r="E36" s="79"/>
      <c r="F36" s="79"/>
      <c r="G36" s="79"/>
      <c r="K36" s="21"/>
    </row>
    <row r="37" spans="3:11" ht="15" outlineLevel="1" x14ac:dyDescent="0.25">
      <c r="C37" s="79" t="s">
        <v>43</v>
      </c>
      <c r="D37" s="79"/>
      <c r="E37" s="79"/>
      <c r="F37" s="79"/>
      <c r="G37" s="79"/>
      <c r="I37" s="25" t="str">
        <f>'Error Checks'!E12</f>
        <v>Example</v>
      </c>
      <c r="K37" s="21" t="str">
        <f>C37</f>
        <v>Internal Reference</v>
      </c>
    </row>
    <row r="38" spans="3:11" ht="15" outlineLevel="1" x14ac:dyDescent="0.25">
      <c r="C38" s="79"/>
      <c r="D38" s="79"/>
      <c r="E38" s="79"/>
      <c r="F38" s="79"/>
      <c r="G38" s="79"/>
      <c r="K38" s="21"/>
    </row>
    <row r="39" spans="3:11" ht="15" outlineLevel="1" x14ac:dyDescent="0.25">
      <c r="C39" s="79" t="s">
        <v>44</v>
      </c>
      <c r="D39" s="79"/>
      <c r="E39" s="79"/>
      <c r="F39" s="79"/>
      <c r="G39" s="79"/>
      <c r="I39" s="26">
        <v>77</v>
      </c>
      <c r="K39" s="21" t="s">
        <v>45</v>
      </c>
    </row>
    <row r="40" spans="3:11" ht="15" outlineLevel="1" x14ac:dyDescent="0.25">
      <c r="C40" s="79"/>
      <c r="D40" s="79"/>
      <c r="E40" s="79"/>
      <c r="F40" s="79"/>
      <c r="G40" s="79"/>
      <c r="K40" s="21"/>
    </row>
    <row r="41" spans="3:11" ht="15" outlineLevel="1" x14ac:dyDescent="0.25">
      <c r="C41" s="79" t="s">
        <v>46</v>
      </c>
      <c r="D41" s="79"/>
      <c r="E41" s="79"/>
      <c r="F41" s="79"/>
      <c r="G41" s="79"/>
      <c r="I41" s="27">
        <f>I39</f>
        <v>77</v>
      </c>
      <c r="K41" s="21" t="str">
        <f>C41</f>
        <v>Line Total</v>
      </c>
    </row>
    <row r="42" spans="3:11" ht="15" outlineLevel="1" x14ac:dyDescent="0.25">
      <c r="C42" s="79"/>
      <c r="D42" s="79"/>
      <c r="E42" s="79"/>
      <c r="F42" s="79"/>
      <c r="G42" s="79"/>
      <c r="K42" s="21"/>
    </row>
    <row r="43" spans="3:11" ht="15" outlineLevel="1" x14ac:dyDescent="0.25">
      <c r="C43" s="79" t="s">
        <v>47</v>
      </c>
      <c r="D43" s="79"/>
      <c r="E43" s="79"/>
      <c r="F43" s="79"/>
      <c r="G43" s="79"/>
      <c r="I43" s="28">
        <v>365</v>
      </c>
      <c r="K43" s="21" t="str">
        <f>C43</f>
        <v>Parameter</v>
      </c>
    </row>
    <row r="44" spans="3:11" ht="15" outlineLevel="1" x14ac:dyDescent="0.25">
      <c r="C44" s="79"/>
      <c r="D44" s="79"/>
      <c r="E44" s="79"/>
      <c r="F44" s="79"/>
      <c r="G44" s="79"/>
      <c r="K44" s="21"/>
    </row>
    <row r="45" spans="3:11" ht="15" outlineLevel="1" x14ac:dyDescent="0.25">
      <c r="C45" s="79" t="s">
        <v>48</v>
      </c>
      <c r="D45" s="79"/>
      <c r="E45" s="79"/>
      <c r="F45" s="79"/>
      <c r="G45" s="79"/>
      <c r="I45" s="29" t="s">
        <v>49</v>
      </c>
      <c r="K45" s="21" t="str">
        <f>C45</f>
        <v>Range Name Description</v>
      </c>
    </row>
    <row r="46" spans="3:11" ht="15" outlineLevel="1" x14ac:dyDescent="0.25">
      <c r="C46" s="79"/>
      <c r="D46" s="79"/>
      <c r="E46" s="79"/>
      <c r="F46" s="79"/>
      <c r="G46" s="79"/>
      <c r="K46" s="21"/>
    </row>
    <row r="47" spans="3:11" ht="15" outlineLevel="1" x14ac:dyDescent="0.25">
      <c r="C47" s="79" t="s">
        <v>50</v>
      </c>
      <c r="D47" s="79"/>
      <c r="E47" s="79"/>
      <c r="F47" s="79"/>
      <c r="G47" s="79"/>
      <c r="I47" s="30">
        <f>ROW(C47)</f>
        <v>47</v>
      </c>
      <c r="K47" s="21" t="s">
        <v>51</v>
      </c>
    </row>
    <row r="48" spans="3:11" ht="15" outlineLevel="1" x14ac:dyDescent="0.25">
      <c r="C48" s="79"/>
      <c r="D48" s="79"/>
      <c r="E48" s="79"/>
      <c r="F48" s="79"/>
      <c r="G48" s="79"/>
      <c r="K48" s="21"/>
    </row>
    <row r="49" spans="2:13" ht="15" outlineLevel="1" x14ac:dyDescent="0.25">
      <c r="C49" s="79" t="s">
        <v>52</v>
      </c>
      <c r="D49" s="79"/>
      <c r="E49" s="79"/>
      <c r="F49" s="79"/>
      <c r="G49" s="79"/>
      <c r="I49" s="31">
        <f>I41</f>
        <v>77</v>
      </c>
      <c r="K49" s="21" t="str">
        <f>C49</f>
        <v>Row Summary</v>
      </c>
    </row>
    <row r="50" spans="2:13" ht="15" outlineLevel="1" x14ac:dyDescent="0.25">
      <c r="C50" s="79"/>
      <c r="D50" s="79"/>
      <c r="E50" s="79"/>
      <c r="F50" s="79"/>
      <c r="G50" s="79"/>
      <c r="K50" s="21"/>
    </row>
    <row r="51" spans="2:13" ht="15" outlineLevel="1" x14ac:dyDescent="0.25">
      <c r="C51" s="79" t="s">
        <v>53</v>
      </c>
      <c r="D51" s="79"/>
      <c r="E51" s="79"/>
      <c r="F51" s="79"/>
      <c r="G51" s="79"/>
      <c r="I51" s="32" t="s">
        <v>68</v>
      </c>
      <c r="K51" s="21" t="str">
        <f>C51</f>
        <v>Units</v>
      </c>
    </row>
    <row r="52" spans="2:13" ht="15" outlineLevel="1" x14ac:dyDescent="0.25">
      <c r="C52" s="79"/>
      <c r="D52" s="79"/>
      <c r="E52" s="79"/>
      <c r="F52" s="79"/>
      <c r="G52" s="79"/>
      <c r="K52" s="21"/>
    </row>
    <row r="53" spans="2:13" ht="15" outlineLevel="1" x14ac:dyDescent="0.25">
      <c r="C53" s="79" t="s">
        <v>54</v>
      </c>
      <c r="D53" s="79"/>
      <c r="E53" s="79"/>
      <c r="F53" s="79"/>
      <c r="G53" s="79"/>
      <c r="I53" s="33"/>
      <c r="K53" s="21" t="str">
        <f>C53</f>
        <v>WIP</v>
      </c>
    </row>
    <row r="54" spans="2:13" ht="15" outlineLevel="1" x14ac:dyDescent="0.25">
      <c r="C54" s="79"/>
      <c r="D54" s="79"/>
      <c r="E54" s="79"/>
      <c r="F54" s="79"/>
      <c r="G54" s="79"/>
      <c r="K54" s="21"/>
    </row>
    <row r="55" spans="2:13" outlineLevel="1" x14ac:dyDescent="0.2">
      <c r="C55" s="79"/>
      <c r="D55" s="79"/>
      <c r="E55" s="79"/>
      <c r="F55" s="79"/>
      <c r="G55" s="79"/>
    </row>
    <row r="56" spans="2:13" ht="16.5" thickBot="1" x14ac:dyDescent="0.3">
      <c r="B56" s="42">
        <f>MAX($B$5:$B55)+1</f>
        <v>3</v>
      </c>
      <c r="C56" s="2" t="s">
        <v>55</v>
      </c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2:13" ht="12.75" outlineLevel="1" thickTop="1" x14ac:dyDescent="0.2"/>
    <row r="58" spans="2:13" outlineLevel="1" x14ac:dyDescent="0.2">
      <c r="C58" s="80" t="s">
        <v>27</v>
      </c>
      <c r="D58" s="80"/>
      <c r="E58" s="80"/>
      <c r="F58" s="80"/>
      <c r="G58" s="80"/>
      <c r="H58" s="13"/>
      <c r="I58" s="13" t="s">
        <v>28</v>
      </c>
      <c r="J58" s="13"/>
      <c r="K58" s="13" t="s">
        <v>29</v>
      </c>
    </row>
    <row r="59" spans="2:13" outlineLevel="1" x14ac:dyDescent="0.2"/>
    <row r="60" spans="2:13" ht="15" outlineLevel="1" x14ac:dyDescent="0.25">
      <c r="C60" s="79" t="s">
        <v>56</v>
      </c>
      <c r="D60" s="79"/>
      <c r="E60" s="79"/>
      <c r="F60" s="79"/>
      <c r="G60" s="79"/>
      <c r="I60" s="43">
        <v>123456.789</v>
      </c>
      <c r="K60" s="21" t="str">
        <f t="shared" ref="K60:K66" si="0">C60</f>
        <v>Comma</v>
      </c>
    </row>
    <row r="61" spans="2:13" ht="15" outlineLevel="1" x14ac:dyDescent="0.25">
      <c r="C61" s="79"/>
      <c r="D61" s="79"/>
      <c r="E61" s="79"/>
      <c r="F61" s="79"/>
      <c r="G61" s="79"/>
      <c r="K61" s="21"/>
    </row>
    <row r="62" spans="2:13" ht="15" outlineLevel="1" x14ac:dyDescent="0.25">
      <c r="C62" s="79" t="s">
        <v>57</v>
      </c>
      <c r="D62" s="79"/>
      <c r="E62" s="79"/>
      <c r="F62" s="79"/>
      <c r="G62" s="79"/>
      <c r="I62" s="34">
        <v>-123456.789</v>
      </c>
      <c r="K62" s="21" t="str">
        <f t="shared" si="0"/>
        <v>Comma [0]</v>
      </c>
    </row>
    <row r="63" spans="2:13" ht="15" outlineLevel="1" x14ac:dyDescent="0.25">
      <c r="C63" s="79"/>
      <c r="D63" s="79"/>
      <c r="E63" s="79"/>
      <c r="F63" s="79"/>
      <c r="G63" s="79"/>
      <c r="K63" s="21"/>
    </row>
    <row r="64" spans="2:13" ht="15" outlineLevel="1" x14ac:dyDescent="0.25">
      <c r="C64" s="79" t="s">
        <v>58</v>
      </c>
      <c r="D64" s="79"/>
      <c r="E64" s="79"/>
      <c r="F64" s="79"/>
      <c r="G64" s="79"/>
      <c r="I64" s="44">
        <v>123456.789</v>
      </c>
      <c r="K64" s="21" t="str">
        <f t="shared" si="0"/>
        <v>Currency</v>
      </c>
    </row>
    <row r="65" spans="3:11" ht="15" outlineLevel="1" x14ac:dyDescent="0.25">
      <c r="C65" s="79"/>
      <c r="D65" s="79"/>
      <c r="E65" s="79"/>
      <c r="F65" s="79"/>
      <c r="G65" s="79"/>
      <c r="K65" s="21"/>
    </row>
    <row r="66" spans="3:11" ht="15" outlineLevel="1" x14ac:dyDescent="0.25">
      <c r="C66" s="79" t="s">
        <v>59</v>
      </c>
      <c r="D66" s="79"/>
      <c r="E66" s="79"/>
      <c r="F66" s="79"/>
      <c r="G66" s="79"/>
      <c r="I66" s="45">
        <v>123456.789</v>
      </c>
      <c r="K66" s="21" t="str">
        <f t="shared" si="0"/>
        <v>Currency [0]</v>
      </c>
    </row>
    <row r="67" spans="3:11" ht="15" outlineLevel="1" x14ac:dyDescent="0.25">
      <c r="C67" s="79"/>
      <c r="D67" s="79"/>
      <c r="E67" s="79"/>
      <c r="F67" s="79"/>
      <c r="G67" s="79"/>
      <c r="K67" s="21"/>
    </row>
    <row r="68" spans="3:11" ht="15" outlineLevel="1" x14ac:dyDescent="0.25">
      <c r="C68" s="79" t="s">
        <v>60</v>
      </c>
      <c r="D68" s="79"/>
      <c r="E68" s="79"/>
      <c r="F68" s="79"/>
      <c r="G68" s="79"/>
      <c r="I68" s="46">
        <f ca="1">TODAY()</f>
        <v>45303</v>
      </c>
      <c r="K68" s="21" t="str">
        <f>C68</f>
        <v>Date</v>
      </c>
    </row>
    <row r="69" spans="3:11" ht="15" outlineLevel="1" x14ac:dyDescent="0.25">
      <c r="C69" s="79"/>
      <c r="D69" s="79"/>
      <c r="E69" s="79"/>
      <c r="F69" s="79"/>
      <c r="G69" s="79"/>
      <c r="K69" s="21"/>
    </row>
    <row r="70" spans="3:11" ht="15" outlineLevel="1" x14ac:dyDescent="0.25">
      <c r="C70" s="79" t="s">
        <v>61</v>
      </c>
      <c r="D70" s="79"/>
      <c r="E70" s="79"/>
      <c r="F70" s="79"/>
      <c r="G70" s="79"/>
      <c r="I70" s="47">
        <f ca="1">TODAY()</f>
        <v>45303</v>
      </c>
      <c r="K70" s="21" t="str">
        <f>C70</f>
        <v>Date Heading</v>
      </c>
    </row>
    <row r="71" spans="3:11" ht="15" outlineLevel="1" x14ac:dyDescent="0.25">
      <c r="C71" s="79"/>
      <c r="D71" s="79"/>
      <c r="E71" s="79"/>
      <c r="F71" s="79"/>
      <c r="G71" s="79"/>
      <c r="K71" s="21"/>
    </row>
    <row r="72" spans="3:11" ht="15" outlineLevel="1" x14ac:dyDescent="0.25">
      <c r="C72" s="79" t="s">
        <v>62</v>
      </c>
      <c r="D72" s="79"/>
      <c r="E72" s="79"/>
      <c r="F72" s="79"/>
      <c r="G72" s="79"/>
      <c r="I72" s="35">
        <v>-123456.789</v>
      </c>
      <c r="K72" s="21" t="str">
        <f>C72</f>
        <v>Numbers 0</v>
      </c>
    </row>
    <row r="73" spans="3:11" ht="15" outlineLevel="1" x14ac:dyDescent="0.25">
      <c r="C73" s="79"/>
      <c r="D73" s="79"/>
      <c r="E73" s="79"/>
      <c r="F73" s="79"/>
      <c r="G73" s="79"/>
      <c r="K73" s="21"/>
    </row>
    <row r="74" spans="3:11" ht="15" outlineLevel="1" x14ac:dyDescent="0.25">
      <c r="C74" s="79" t="s">
        <v>63</v>
      </c>
      <c r="D74" s="79"/>
      <c r="E74" s="79"/>
      <c r="F74" s="79"/>
      <c r="G74" s="79"/>
      <c r="I74" s="36">
        <v>0.5</v>
      </c>
      <c r="K74" s="21" t="str">
        <f>C74</f>
        <v>Percent</v>
      </c>
    </row>
    <row r="75" spans="3:11" outlineLevel="1" x14ac:dyDescent="0.2">
      <c r="C75" s="79"/>
      <c r="D75" s="79"/>
      <c r="E75" s="79"/>
      <c r="F75" s="79"/>
      <c r="G75" s="79"/>
    </row>
    <row r="76" spans="3:11" outlineLevel="1" x14ac:dyDescent="0.2">
      <c r="C76" s="79"/>
      <c r="D76" s="79"/>
      <c r="E76" s="79"/>
      <c r="F76" s="79"/>
      <c r="G76" s="79"/>
    </row>
    <row r="77" spans="3:11" x14ac:dyDescent="0.2">
      <c r="C77" s="79"/>
      <c r="D77" s="79"/>
      <c r="E77" s="79"/>
      <c r="F77" s="79"/>
      <c r="G77" s="79"/>
    </row>
    <row r="78" spans="3:11" x14ac:dyDescent="0.2">
      <c r="C78" s="79"/>
      <c r="D78" s="79"/>
      <c r="E78" s="79"/>
      <c r="F78" s="79"/>
      <c r="G78" s="79"/>
    </row>
    <row r="79" spans="3:11" x14ac:dyDescent="0.2">
      <c r="C79" s="79"/>
      <c r="D79" s="79"/>
      <c r="E79" s="79"/>
      <c r="F79" s="79"/>
      <c r="G79" s="79"/>
    </row>
    <row r="80" spans="3:11" x14ac:dyDescent="0.2">
      <c r="C80" s="79"/>
      <c r="D80" s="79"/>
      <c r="E80" s="79"/>
      <c r="F80" s="79"/>
      <c r="G80" s="79"/>
    </row>
    <row r="81" spans="3:7" x14ac:dyDescent="0.2">
      <c r="C81" s="79"/>
      <c r="D81" s="79"/>
      <c r="E81" s="79"/>
      <c r="F81" s="79"/>
      <c r="G81" s="79"/>
    </row>
  </sheetData>
  <mergeCells count="66">
    <mergeCell ref="C17:G17"/>
    <mergeCell ref="A3:E3"/>
    <mergeCell ref="C8:G8"/>
    <mergeCell ref="C9:G9"/>
    <mergeCell ref="C10:G10"/>
    <mergeCell ref="C11:G11"/>
    <mergeCell ref="C12:G12"/>
    <mergeCell ref="C13:G13"/>
    <mergeCell ref="C14:G14"/>
    <mergeCell ref="C15:G15"/>
    <mergeCell ref="C16:G16"/>
    <mergeCell ref="C35:G35"/>
    <mergeCell ref="C18:G18"/>
    <mergeCell ref="C19:G19"/>
    <mergeCell ref="C20:G20"/>
    <mergeCell ref="C25:G25"/>
    <mergeCell ref="C26:G26"/>
    <mergeCell ref="C27:G27"/>
    <mergeCell ref="C28:G28"/>
    <mergeCell ref="C29:G29"/>
    <mergeCell ref="C30:G30"/>
    <mergeCell ref="C31:G31"/>
    <mergeCell ref="C32:G32"/>
    <mergeCell ref="C47:G47"/>
    <mergeCell ref="C36:G36"/>
    <mergeCell ref="C37:G37"/>
    <mergeCell ref="C38:G38"/>
    <mergeCell ref="C39:G39"/>
    <mergeCell ref="C40:G40"/>
    <mergeCell ref="C41:G41"/>
    <mergeCell ref="C42:G42"/>
    <mergeCell ref="C43:G43"/>
    <mergeCell ref="C44:G44"/>
    <mergeCell ref="C45:G45"/>
    <mergeCell ref="C46:G46"/>
    <mergeCell ref="C62:G62"/>
    <mergeCell ref="C48:G48"/>
    <mergeCell ref="C49:G49"/>
    <mergeCell ref="C50:G50"/>
    <mergeCell ref="C51:G51"/>
    <mergeCell ref="C52:G52"/>
    <mergeCell ref="C53:G53"/>
    <mergeCell ref="C54:G54"/>
    <mergeCell ref="C55:G55"/>
    <mergeCell ref="C58:G58"/>
    <mergeCell ref="C60:G60"/>
    <mergeCell ref="C61:G61"/>
    <mergeCell ref="C74:G74"/>
    <mergeCell ref="C63:G63"/>
    <mergeCell ref="C64:G64"/>
    <mergeCell ref="C65:G65"/>
    <mergeCell ref="C66:G66"/>
    <mergeCell ref="C67:G67"/>
    <mergeCell ref="C68:G68"/>
    <mergeCell ref="C69:G69"/>
    <mergeCell ref="C70:G70"/>
    <mergeCell ref="C71:G71"/>
    <mergeCell ref="C72:G72"/>
    <mergeCell ref="C73:G73"/>
    <mergeCell ref="C81:G81"/>
    <mergeCell ref="C75:G75"/>
    <mergeCell ref="C76:G76"/>
    <mergeCell ref="C77:G77"/>
    <mergeCell ref="C78:G78"/>
    <mergeCell ref="C79:G79"/>
    <mergeCell ref="C80:G80"/>
  </mergeCells>
  <conditionalFormatting sqref="I4">
    <cfRule type="cellIs" dxfId="8" priority="1" operator="notEqual">
      <formula>0</formula>
    </cfRule>
  </conditionalFormatting>
  <hyperlinks>
    <hyperlink ref="A3:E3" location="HL_Navigator" tooltip="Go to Navigator (Table of Contents)" display="Navigator" xr:uid="{00000000-0004-0000-0200-000000000000}"/>
    <hyperlink ref="A3" location="HL_Navigator" display="Navigator" xr:uid="{00000000-0004-0000-0200-000001000000}"/>
    <hyperlink ref="I4" location="Overall_Error_Check" tooltip="Go to Overall Error Check" display="Overall_Error_Check" xr:uid="{00000000-0004-0000-0200-000002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2">
    <outlinePr summaryBelow="0"/>
  </sheetPr>
  <dimension ref="A1:S33"/>
  <sheetViews>
    <sheetView showGridLines="0" zoomScaleNormal="100" workbookViewId="0">
      <pane ySplit="4" topLeftCell="A5" activePane="bottomLeft" state="frozen"/>
      <selection activeCell="A3" sqref="A3:E3"/>
      <selection pane="bottomLeft" activeCell="A3" sqref="A3:E3"/>
    </sheetView>
  </sheetViews>
  <sheetFormatPr defaultColWidth="0" defaultRowHeight="12" outlineLevelRow="1" x14ac:dyDescent="0.2"/>
  <cols>
    <col min="1" max="5" width="3.7109375" customWidth="1"/>
    <col min="6" max="6" width="16.28515625" customWidth="1"/>
    <col min="7" max="7" width="14.42578125" customWidth="1"/>
    <col min="8" max="8" width="3" customWidth="1"/>
    <col min="9" max="18" width="9.140625" customWidth="1"/>
    <col min="19" max="19" width="1.7109375" customWidth="1"/>
    <col min="20" max="16384" width="9.140625" hidden="1"/>
  </cols>
  <sheetData>
    <row r="1" spans="1:18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Model Parameters</v>
      </c>
      <c r="J1" s="78"/>
      <c r="K1" s="78"/>
    </row>
    <row r="2" spans="1:18" ht="18" x14ac:dyDescent="0.25">
      <c r="A2" s="41" t="str">
        <f ca="1">Model_Name</f>
        <v>SP Horizontal RainCloud Chart - Complete.xlsm</v>
      </c>
    </row>
    <row r="3" spans="1:18" x14ac:dyDescent="0.2">
      <c r="A3" s="78" t="s">
        <v>1</v>
      </c>
      <c r="B3" s="78"/>
      <c r="C3" s="78"/>
      <c r="D3" s="78"/>
      <c r="E3" s="78"/>
    </row>
    <row r="4" spans="1:18" ht="14.25" x14ac:dyDescent="0.2">
      <c r="E4" t="s">
        <v>2</v>
      </c>
      <c r="I4" s="1">
        <f>Overall_Error_Check</f>
        <v>0</v>
      </c>
    </row>
    <row r="6" spans="1:18" ht="16.5" thickBot="1" x14ac:dyDescent="0.3">
      <c r="B6" s="42">
        <f>MAX($B$5:$B5)+1</f>
        <v>1</v>
      </c>
      <c r="C6" s="2" t="s">
        <v>3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2.75" outlineLevel="1" thickTop="1" x14ac:dyDescent="0.2"/>
    <row r="8" spans="1:18" ht="16.5" outlineLevel="1" x14ac:dyDescent="0.25">
      <c r="C8" s="3" t="s">
        <v>4</v>
      </c>
    </row>
    <row r="9" spans="1:18" ht="16.5" outlineLevel="1" x14ac:dyDescent="0.25">
      <c r="C9" s="3"/>
    </row>
    <row r="10" spans="1:18" ht="16.5" outlineLevel="1" x14ac:dyDescent="0.25">
      <c r="C10" s="3"/>
      <c r="E10" s="4" t="s">
        <v>3</v>
      </c>
    </row>
    <row r="11" spans="1:18" outlineLevel="1" x14ac:dyDescent="0.2">
      <c r="E11" t="s">
        <v>5</v>
      </c>
      <c r="G11" s="81" t="str">
        <f ca="1">IF(ISERROR(OR(FIND("[",CELL("filename",A1)),FIND("]",CELL("filename",A1)))),"",MID(CELL("filename",A1),FIND("[",CELL("filename",A1))+1,FIND("]",CELL("filename",A1))-FIND("[",CELL("filename",A1))-1))</f>
        <v>SP Horizontal RainCloud Chart - Complete.xlsm</v>
      </c>
      <c r="H11" s="81"/>
      <c r="I11" s="81"/>
      <c r="J11" s="81"/>
      <c r="K11" s="81"/>
      <c r="L11" s="81"/>
      <c r="M11" s="81"/>
      <c r="N11" s="81"/>
    </row>
    <row r="12" spans="1:18" outlineLevel="1" x14ac:dyDescent="0.2">
      <c r="E12" t="s">
        <v>6</v>
      </c>
      <c r="G12" s="82" t="s">
        <v>69</v>
      </c>
      <c r="H12" s="82"/>
      <c r="I12" s="82"/>
      <c r="J12" s="82"/>
      <c r="K12" s="82"/>
      <c r="L12" s="82"/>
      <c r="M12" s="82"/>
      <c r="N12" s="82"/>
    </row>
    <row r="13" spans="1:18" outlineLevel="1" x14ac:dyDescent="0.2"/>
    <row r="14" spans="1:18" outlineLevel="1" x14ac:dyDescent="0.2"/>
    <row r="15" spans="1:18" ht="16.5" thickBot="1" x14ac:dyDescent="0.3">
      <c r="B15" s="42">
        <f>MAX($B$5:$B14)+1</f>
        <v>2</v>
      </c>
      <c r="C15" s="2" t="s">
        <v>7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1:18" ht="12.75" outlineLevel="1" thickTop="1" x14ac:dyDescent="0.2"/>
    <row r="17" spans="3:7" ht="16.5" outlineLevel="1" x14ac:dyDescent="0.25">
      <c r="C17" s="3" t="s">
        <v>8</v>
      </c>
    </row>
    <row r="18" spans="3:7" outlineLevel="1" x14ac:dyDescent="0.2"/>
    <row r="19" spans="3:7" outlineLevel="1" x14ac:dyDescent="0.2">
      <c r="E19" t="s">
        <v>9</v>
      </c>
      <c r="G19" s="5">
        <v>365</v>
      </c>
    </row>
    <row r="20" spans="3:7" outlineLevel="1" x14ac:dyDescent="0.2">
      <c r="E20" t="s">
        <v>10</v>
      </c>
      <c r="G20" s="5">
        <v>1</v>
      </c>
    </row>
    <row r="21" spans="3:7" outlineLevel="1" x14ac:dyDescent="0.2">
      <c r="E21" t="s">
        <v>11</v>
      </c>
      <c r="G21" s="5">
        <v>3</v>
      </c>
    </row>
    <row r="22" spans="3:7" outlineLevel="1" x14ac:dyDescent="0.2">
      <c r="E22" t="s">
        <v>12</v>
      </c>
      <c r="G22" s="5">
        <v>6</v>
      </c>
    </row>
    <row r="23" spans="3:7" outlineLevel="1" x14ac:dyDescent="0.2">
      <c r="E23" t="s">
        <v>13</v>
      </c>
      <c r="G23" s="5">
        <v>12</v>
      </c>
    </row>
    <row r="24" spans="3:7" outlineLevel="1" x14ac:dyDescent="0.2">
      <c r="E24" t="s">
        <v>14</v>
      </c>
      <c r="G24" s="5">
        <v>4</v>
      </c>
    </row>
    <row r="25" spans="3:7" outlineLevel="1" x14ac:dyDescent="0.2"/>
    <row r="26" spans="3:7" outlineLevel="1" x14ac:dyDescent="0.2">
      <c r="E26" t="s">
        <v>15</v>
      </c>
      <c r="G26" s="5">
        <v>5</v>
      </c>
    </row>
    <row r="27" spans="3:7" outlineLevel="1" x14ac:dyDescent="0.2"/>
    <row r="28" spans="3:7" outlineLevel="1" x14ac:dyDescent="0.2">
      <c r="E28" t="s">
        <v>16</v>
      </c>
      <c r="G28" s="6">
        <v>9.9999999999999997E+98</v>
      </c>
    </row>
    <row r="29" spans="3:7" outlineLevel="1" x14ac:dyDescent="0.2">
      <c r="E29" t="s">
        <v>17</v>
      </c>
      <c r="G29" s="6">
        <v>1E-8</v>
      </c>
    </row>
    <row r="30" spans="3:7" outlineLevel="1" x14ac:dyDescent="0.2"/>
    <row r="31" spans="3:7" outlineLevel="1" x14ac:dyDescent="0.2">
      <c r="E31" t="s">
        <v>18</v>
      </c>
      <c r="G31" s="5">
        <v>1000</v>
      </c>
    </row>
    <row r="32" spans="3:7" outlineLevel="1" x14ac:dyDescent="0.2"/>
    <row r="33" outlineLevel="1" x14ac:dyDescent="0.2"/>
  </sheetData>
  <sheetProtection formatColumns="0" formatRows="0"/>
  <mergeCells count="4">
    <mergeCell ref="J1:K1"/>
    <mergeCell ref="A3:E3"/>
    <mergeCell ref="G11:N11"/>
    <mergeCell ref="G12:N12"/>
  </mergeCells>
  <conditionalFormatting sqref="I4">
    <cfRule type="cellIs" dxfId="7" priority="1" operator="notEqual">
      <formula>0</formula>
    </cfRule>
  </conditionalFormatting>
  <hyperlinks>
    <hyperlink ref="A3:E3" location="HL_Navigator" tooltip="Go to Navigator (Table of Contents)" display="Navigator" xr:uid="{00000000-0004-0000-0300-000000000000}"/>
    <hyperlink ref="A3" location="HL_Navigator" display="Navigator" xr:uid="{00000000-0004-0000-0300-000001000000}"/>
    <hyperlink ref="I4" location="Overall_Error_Check" tooltip="Go to Overall Error Check" display="Overall_Error_Check" xr:uid="{00000000-0004-0000-0300-000002000000}"/>
  </hyperlinks>
  <pageMargins left="0.70866141732283472" right="0.70866141732283472" top="0.74803149606299213" bottom="0.74803149606299213" header="0.31496062992125984" footer="0.31496062992125984"/>
  <pageSetup paperSize="8" scale="7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625C7-A98F-420C-8803-48E3FA90D51C}">
  <sheetPr codeName="Sheet4"/>
  <dimension ref="A1:S69"/>
  <sheetViews>
    <sheetView showGridLines="0" zoomScale="85" zoomScaleNormal="85" zoomScaleSheetLayoutView="85" workbookViewId="0">
      <pane ySplit="4" topLeftCell="A5" activePane="bottomLeft" state="frozen"/>
      <selection activeCell="A3" sqref="A3:E3"/>
      <selection pane="bottomLeft" activeCell="G11" sqref="G11:G19"/>
    </sheetView>
  </sheetViews>
  <sheetFormatPr defaultColWidth="9.140625" defaultRowHeight="12" x14ac:dyDescent="0.2"/>
  <cols>
    <col min="1" max="3" width="3.7109375" customWidth="1"/>
    <col min="4" max="4" width="9.140625" customWidth="1"/>
    <col min="5" max="5" width="15" customWidth="1"/>
    <col min="6" max="6" width="19.42578125" customWidth="1"/>
    <col min="7" max="7" width="18.140625" customWidth="1"/>
    <col min="8" max="8" width="17.42578125" bestFit="1" customWidth="1"/>
    <col min="9" max="12" width="15.85546875" customWidth="1"/>
    <col min="13" max="13" width="11.7109375" customWidth="1"/>
    <col min="14" max="19" width="8.85546875" customWidth="1"/>
  </cols>
  <sheetData>
    <row r="1" spans="1:19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Horizontal Raincloud Bar Cloud</v>
      </c>
    </row>
    <row r="2" spans="1:19" ht="18" x14ac:dyDescent="0.25">
      <c r="A2" s="41" t="str">
        <f ca="1">Model_Name</f>
        <v>SP Horizontal RainCloud Chart - Complete.xlsm</v>
      </c>
    </row>
    <row r="3" spans="1:19" x14ac:dyDescent="0.2">
      <c r="A3" s="78" t="s">
        <v>1</v>
      </c>
      <c r="B3" s="78"/>
      <c r="C3" s="78"/>
      <c r="D3" s="78"/>
      <c r="E3" s="78"/>
      <c r="F3" s="78"/>
    </row>
    <row r="4" spans="1:19" ht="14.25" x14ac:dyDescent="0.2">
      <c r="B4" t="s">
        <v>2</v>
      </c>
      <c r="G4" s="1">
        <f>Overall_Error_Check</f>
        <v>0</v>
      </c>
    </row>
    <row r="5" spans="1:19" x14ac:dyDescent="0.2">
      <c r="A5" s="11"/>
    </row>
    <row r="6" spans="1:19" ht="16.5" thickBot="1" x14ac:dyDescent="0.3">
      <c r="B6" s="42">
        <f>MAX($B$5:$B5)+1</f>
        <v>1</v>
      </c>
      <c r="C6" s="2" t="s">
        <v>88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ht="12.75" thickTop="1" x14ac:dyDescent="0.2"/>
    <row r="9" spans="1:19" x14ac:dyDescent="0.2">
      <c r="D9" s="13" t="s">
        <v>72</v>
      </c>
      <c r="E9" s="13" t="s">
        <v>99</v>
      </c>
      <c r="F9" s="71" t="s">
        <v>81</v>
      </c>
      <c r="G9" s="72" t="s">
        <v>82</v>
      </c>
      <c r="I9" s="51" t="s">
        <v>83</v>
      </c>
      <c r="J9" s="50">
        <v>1.5</v>
      </c>
    </row>
    <row r="10" spans="1:19" x14ac:dyDescent="0.2">
      <c r="D10" s="20">
        <v>27</v>
      </c>
      <c r="E10" s="58">
        <f>SMALL(Cloud[Cloud 1],COUNTA(Cloud[[#Headers],[Cloud 1]]:Cloud[[#This Row],[Cloud 1]])-1)</f>
        <v>1</v>
      </c>
      <c r="F10" s="73">
        <f>COUNTIF(Cloud[[#Headers],[Cloud 1 Sorted]]:Cloud[[#This Row],[Cloud 1 Sorted]],Cloud[[#This Row],[Cloud 1 Sorted]])</f>
        <v>1</v>
      </c>
      <c r="G10" s="60">
        <f>IF(Cloud[[#This Row],[Cloud 1: 1st position]]=1,J$9,G9+J$10)</f>
        <v>1.5</v>
      </c>
      <c r="I10" s="51" t="s">
        <v>84</v>
      </c>
      <c r="J10" s="50">
        <v>-0.5</v>
      </c>
    </row>
    <row r="11" spans="1:19" x14ac:dyDescent="0.2">
      <c r="D11" s="20">
        <v>18</v>
      </c>
      <c r="E11" s="58">
        <f>SMALL(Cloud[Cloud 1],COUNTA(Cloud[[#Headers],[Cloud 1]]:Cloud[[#This Row],[Cloud 1]])-1)</f>
        <v>8</v>
      </c>
      <c r="F11" s="73">
        <f>COUNTIF(Cloud[[#Headers],[Cloud 1 Sorted]]:Cloud[[#This Row],[Cloud 1 Sorted]],Cloud[[#This Row],[Cloud 1 Sorted]])</f>
        <v>1</v>
      </c>
      <c r="G11" s="60">
        <f>IF(Cloud[[#This Row],[Cloud 1: 1st position]]=1,J$9,G10+J$10)</f>
        <v>1.5</v>
      </c>
    </row>
    <row r="12" spans="1:19" x14ac:dyDescent="0.2">
      <c r="D12" s="20">
        <v>95</v>
      </c>
      <c r="E12" s="58">
        <f>SMALL(Cloud[Cloud 1],COUNTA(Cloud[[#Headers],[Cloud 1]]:Cloud[[#This Row],[Cloud 1]])-1)</f>
        <v>8</v>
      </c>
      <c r="F12" s="73">
        <f>COUNTIF(Cloud[[#Headers],[Cloud 1 Sorted]]:Cloud[[#This Row],[Cloud 1 Sorted]],Cloud[[#This Row],[Cloud 1 Sorted]])</f>
        <v>2</v>
      </c>
      <c r="G12" s="60">
        <f>IF(Cloud[[#This Row],[Cloud 1: 1st position]]=1,J$9,G11+J$10)</f>
        <v>1</v>
      </c>
      <c r="I12" s="13" t="s">
        <v>73</v>
      </c>
      <c r="J12" s="13" t="s">
        <v>85</v>
      </c>
    </row>
    <row r="13" spans="1:19" x14ac:dyDescent="0.2">
      <c r="D13" s="20">
        <v>90</v>
      </c>
      <c r="E13" s="58">
        <f>SMALL(Cloud[Cloud 1],COUNTA(Cloud[[#Headers],[Cloud 1]]:Cloud[[#This Row],[Cloud 1]])-1)</f>
        <v>9</v>
      </c>
      <c r="F13" s="73">
        <f>COUNTIF(Cloud[[#Headers],[Cloud 1 Sorted]]:Cloud[[#This Row],[Cloud 1 Sorted]],Cloud[[#This Row],[Cloud 1 Sorted]])</f>
        <v>1</v>
      </c>
      <c r="G13" s="60">
        <f>IF(Cloud[[#This Row],[Cloud 1: 1st position]]=1,J$9,G12+J$10)</f>
        <v>1.5</v>
      </c>
      <c r="I13" s="48">
        <v>0</v>
      </c>
      <c r="J13" s="28">
        <f>PERCENTILE('Horizontal Raincloud Bar Cloud'!$D$10:$D$69,$I13)</f>
        <v>1</v>
      </c>
    </row>
    <row r="14" spans="1:19" x14ac:dyDescent="0.2">
      <c r="D14" s="20">
        <v>53</v>
      </c>
      <c r="E14" s="58">
        <f>SMALL(Cloud[Cloud 1],COUNTA(Cloud[[#Headers],[Cloud 1]]:Cloud[[#This Row],[Cloud 1]])-1)</f>
        <v>10</v>
      </c>
      <c r="F14" s="73">
        <f>COUNTIF(Cloud[[#Headers],[Cloud 1 Sorted]]:Cloud[[#This Row],[Cloud 1 Sorted]],Cloud[[#This Row],[Cloud 1 Sorted]])</f>
        <v>1</v>
      </c>
      <c r="G14" s="60">
        <f>IF(Cloud[[#This Row],[Cloud 1: 1st position]]=1,J$9,G13+J$10)</f>
        <v>1.5</v>
      </c>
      <c r="I14" s="48">
        <v>0.1</v>
      </c>
      <c r="J14" s="28">
        <f>PERCENTILE('Horizontal Raincloud Bar Cloud'!$D$10:$D$69,$I14)</f>
        <v>11.9</v>
      </c>
    </row>
    <row r="15" spans="1:19" x14ac:dyDescent="0.2">
      <c r="D15" s="20">
        <v>17</v>
      </c>
      <c r="E15" s="58">
        <f>SMALL(Cloud[Cloud 1],COUNTA(Cloud[[#Headers],[Cloud 1]]:Cloud[[#This Row],[Cloud 1]])-1)</f>
        <v>11</v>
      </c>
      <c r="F15" s="73">
        <f>COUNTIF(Cloud[[#Headers],[Cloud 1 Sorted]]:Cloud[[#This Row],[Cloud 1 Sorted]],Cloud[[#This Row],[Cloud 1 Sorted]])</f>
        <v>1</v>
      </c>
      <c r="G15" s="60">
        <f>IF(Cloud[[#This Row],[Cloud 1: 1st position]]=1,J$9,G14+J$10)</f>
        <v>1.5</v>
      </c>
      <c r="I15" s="48">
        <v>0.25</v>
      </c>
      <c r="J15" s="28">
        <f>PERCENTILE('Horizontal Raincloud Bar Cloud'!$D$10:$D$69,$I15)</f>
        <v>20.5</v>
      </c>
    </row>
    <row r="16" spans="1:19" x14ac:dyDescent="0.2">
      <c r="D16" s="20">
        <v>92</v>
      </c>
      <c r="E16" s="58">
        <f>SMALL(Cloud[Cloud 1],COUNTA(Cloud[[#Headers],[Cloud 1]]:Cloud[[#This Row],[Cloud 1]])-1)</f>
        <v>12</v>
      </c>
      <c r="F16" s="73">
        <f>COUNTIF(Cloud[[#Headers],[Cloud 1 Sorted]]:Cloud[[#This Row],[Cloud 1 Sorted]],Cloud[[#This Row],[Cloud 1 Sorted]])</f>
        <v>1</v>
      </c>
      <c r="G16" s="60">
        <f>IF(Cloud[[#This Row],[Cloud 1: 1st position]]=1,J$9,G15+J$10)</f>
        <v>1.5</v>
      </c>
      <c r="I16" s="48">
        <v>0.5</v>
      </c>
      <c r="J16" s="28">
        <f>PERCENTILE('Horizontal Raincloud Bar Cloud'!$D$10:$D$69,$I16)</f>
        <v>43.5</v>
      </c>
    </row>
    <row r="17" spans="4:12" x14ac:dyDescent="0.2">
      <c r="D17" s="20">
        <v>93</v>
      </c>
      <c r="E17" s="58">
        <f>SMALL(Cloud[Cloud 1],COUNTA(Cloud[[#Headers],[Cloud 1]]:Cloud[[#This Row],[Cloud 1]])-1)</f>
        <v>12</v>
      </c>
      <c r="F17" s="73">
        <f>COUNTIF(Cloud[[#Headers],[Cloud 1 Sorted]]:Cloud[[#This Row],[Cloud 1 Sorted]],Cloud[[#This Row],[Cloud 1 Sorted]])</f>
        <v>2</v>
      </c>
      <c r="G17" s="60">
        <f>IF(Cloud[[#This Row],[Cloud 1: 1st position]]=1,J$9,G16+J$10)</f>
        <v>1</v>
      </c>
      <c r="I17" s="48">
        <v>0.75</v>
      </c>
      <c r="J17" s="28">
        <f>PERCENTILE('Horizontal Raincloud Bar Cloud'!$D$10:$D$69,$I17)</f>
        <v>64.75</v>
      </c>
    </row>
    <row r="18" spans="4:12" x14ac:dyDescent="0.2">
      <c r="D18" s="20">
        <v>18</v>
      </c>
      <c r="E18" s="58">
        <f>SMALL(Cloud[Cloud 1],COUNTA(Cloud[[#Headers],[Cloud 1]]:Cloud[[#This Row],[Cloud 1]])-1)</f>
        <v>12</v>
      </c>
      <c r="F18" s="73">
        <f>COUNTIF(Cloud[[#Headers],[Cloud 1 Sorted]]:Cloud[[#This Row],[Cloud 1 Sorted]],Cloud[[#This Row],[Cloud 1 Sorted]])</f>
        <v>3</v>
      </c>
      <c r="G18" s="60">
        <f>IF(Cloud[[#This Row],[Cloud 1: 1st position]]=1,J$9,G17+J$10)</f>
        <v>0.5</v>
      </c>
      <c r="I18" s="48">
        <v>0.9</v>
      </c>
      <c r="J18" s="28">
        <f>PERCENTILE('Horizontal Raincloud Bar Cloud'!$D$10:$D$69,$I18)</f>
        <v>90</v>
      </c>
    </row>
    <row r="19" spans="4:12" x14ac:dyDescent="0.2">
      <c r="D19" s="20">
        <v>15</v>
      </c>
      <c r="E19" s="58">
        <f>SMALL(Cloud[Cloud 1],COUNTA(Cloud[[#Headers],[Cloud 1]]:Cloud[[#This Row],[Cloud 1]])-1)</f>
        <v>13</v>
      </c>
      <c r="F19" s="73">
        <f>COUNTIF(Cloud[[#Headers],[Cloud 1 Sorted]]:Cloud[[#This Row],[Cloud 1 Sorted]],Cloud[[#This Row],[Cloud 1 Sorted]])</f>
        <v>1</v>
      </c>
      <c r="G19" s="60">
        <f>IF(Cloud[[#This Row],[Cloud 1: 1st position]]=1,J$9,G18+J$10)</f>
        <v>1.5</v>
      </c>
      <c r="I19" s="49">
        <v>1</v>
      </c>
      <c r="J19" s="28">
        <f>PERCENTILE('Horizontal Raincloud Bar Cloud'!$D$10:$D$69,$I19)</f>
        <v>99</v>
      </c>
    </row>
    <row r="20" spans="4:12" x14ac:dyDescent="0.2">
      <c r="D20" s="20">
        <v>31</v>
      </c>
      <c r="E20" s="58">
        <f>SMALL(Cloud[Cloud 1],COUNTA(Cloud[[#Headers],[Cloud 1]]:Cloud[[#This Row],[Cloud 1]])-1)</f>
        <v>15</v>
      </c>
      <c r="F20" s="73">
        <f>COUNTIF(Cloud[[#Headers],[Cloud 1 Sorted]]:Cloud[[#This Row],[Cloud 1 Sorted]],Cloud[[#This Row],[Cloud 1 Sorted]])</f>
        <v>1</v>
      </c>
      <c r="G20" s="60">
        <f>IF(Cloud[[#This Row],[Cloud 1: 1st position]]=1,J$9,G19+J$10)</f>
        <v>1.5</v>
      </c>
    </row>
    <row r="21" spans="4:12" x14ac:dyDescent="0.2">
      <c r="D21" s="20">
        <v>9</v>
      </c>
      <c r="E21" s="58">
        <f>SMALL(Cloud[Cloud 1],COUNTA(Cloud[[#Headers],[Cloud 1]]:Cloud[[#This Row],[Cloud 1]])-1)</f>
        <v>17</v>
      </c>
      <c r="F21" s="73">
        <f>COUNTIF(Cloud[[#Headers],[Cloud 1 Sorted]]:Cloud[[#This Row],[Cloud 1 Sorted]],Cloud[[#This Row],[Cloud 1 Sorted]])</f>
        <v>1</v>
      </c>
      <c r="G21" s="60">
        <f>IF(Cloud[[#This Row],[Cloud 1: 1st position]]=1,J$9,G20+J$10)</f>
        <v>1.5</v>
      </c>
      <c r="I21" s="70" t="s">
        <v>102</v>
      </c>
      <c r="J21" s="64"/>
      <c r="K21" s="64"/>
      <c r="L21" s="69" t="s">
        <v>72</v>
      </c>
    </row>
    <row r="22" spans="4:12" x14ac:dyDescent="0.2">
      <c r="D22" s="20">
        <v>27</v>
      </c>
      <c r="E22" s="58">
        <f>SMALL(Cloud[Cloud 1],COUNTA(Cloud[[#Headers],[Cloud 1]]:Cloud[[#This Row],[Cloud 1]])-1)</f>
        <v>18</v>
      </c>
      <c r="F22" s="73">
        <f>COUNTIF(Cloud[[#Headers],[Cloud 1 Sorted]]:Cloud[[#This Row],[Cloud 1 Sorted]],Cloud[[#This Row],[Cloud 1 Sorted]])</f>
        <v>1</v>
      </c>
      <c r="G22" s="60">
        <f>IF(Cloud[[#This Row],[Cloud 1: 1st position]]=1,J$9,G21+J$10)</f>
        <v>1.5</v>
      </c>
      <c r="I22" s="51" t="s">
        <v>74</v>
      </c>
      <c r="J22" s="28"/>
      <c r="K22" s="28"/>
      <c r="L22" s="28">
        <f>J15</f>
        <v>20.5</v>
      </c>
    </row>
    <row r="23" spans="4:12" x14ac:dyDescent="0.2">
      <c r="D23" s="20">
        <v>29</v>
      </c>
      <c r="E23" s="58">
        <f>SMALL(Cloud[Cloud 1],COUNTA(Cloud[[#Headers],[Cloud 1]]:Cloud[[#This Row],[Cloud 1]])-1)</f>
        <v>18</v>
      </c>
      <c r="F23" s="73">
        <f>COUNTIF(Cloud[[#Headers],[Cloud 1 Sorted]]:Cloud[[#This Row],[Cloud 1 Sorted]],Cloud[[#This Row],[Cloud 1 Sorted]])</f>
        <v>2</v>
      </c>
      <c r="G23" s="60">
        <f>IF(Cloud[[#This Row],[Cloud 1: 1st position]]=1,J$9,G22+J$10)</f>
        <v>1</v>
      </c>
      <c r="I23" s="51" t="s">
        <v>75</v>
      </c>
      <c r="J23" s="28"/>
      <c r="K23" s="28"/>
      <c r="L23" s="28">
        <f>J16-J15</f>
        <v>23</v>
      </c>
    </row>
    <row r="24" spans="4:12" x14ac:dyDescent="0.2">
      <c r="D24" s="20">
        <v>70</v>
      </c>
      <c r="E24" s="58">
        <f>SMALL(Cloud[Cloud 1],COUNTA(Cloud[[#Headers],[Cloud 1]]:Cloud[[#This Row],[Cloud 1]])-1)</f>
        <v>19</v>
      </c>
      <c r="F24" s="73">
        <f>COUNTIF(Cloud[[#Headers],[Cloud 1 Sorted]]:Cloud[[#This Row],[Cloud 1 Sorted]],Cloud[[#This Row],[Cloud 1 Sorted]])</f>
        <v>1</v>
      </c>
      <c r="G24" s="60">
        <f>IF(Cloud[[#This Row],[Cloud 1: 1st position]]=1,J$9,G23+J$10)</f>
        <v>1.5</v>
      </c>
      <c r="I24" s="51" t="s">
        <v>76</v>
      </c>
      <c r="J24" s="28"/>
      <c r="K24" s="28"/>
      <c r="L24" s="28">
        <f>J17-J16</f>
        <v>21.25</v>
      </c>
    </row>
    <row r="25" spans="4:12" x14ac:dyDescent="0.2">
      <c r="D25" s="20">
        <v>12</v>
      </c>
      <c r="E25" s="58">
        <f>SMALL(Cloud[Cloud 1],COUNTA(Cloud[[#Headers],[Cloud 1]]:Cloud[[#This Row],[Cloud 1]])-1)</f>
        <v>21</v>
      </c>
      <c r="F25" s="73">
        <f>COUNTIF(Cloud[[#Headers],[Cloud 1 Sorted]]:Cloud[[#This Row],[Cloud 1 Sorted]],Cloud[[#This Row],[Cloud 1 Sorted]])</f>
        <v>1</v>
      </c>
      <c r="G25" s="60">
        <f>IF(Cloud[[#This Row],[Cloud 1: 1st position]]=1,J$9,G24+J$10)</f>
        <v>1.5</v>
      </c>
    </row>
    <row r="26" spans="4:12" x14ac:dyDescent="0.2">
      <c r="D26" s="20">
        <v>43</v>
      </c>
      <c r="E26" s="58">
        <f>SMALL(Cloud[Cloud 1],COUNTA(Cloud[[#Headers],[Cloud 1]]:Cloud[[#This Row],[Cloud 1]])-1)</f>
        <v>27</v>
      </c>
      <c r="F26" s="73">
        <f>COUNTIF(Cloud[[#Headers],[Cloud 1 Sorted]]:Cloud[[#This Row],[Cloud 1 Sorted]],Cloud[[#This Row],[Cloud 1 Sorted]])</f>
        <v>1</v>
      </c>
      <c r="G26" s="60">
        <f>IF(Cloud[[#This Row],[Cloud 1: 1st position]]=1,J$9,G25+J$10)</f>
        <v>1.5</v>
      </c>
      <c r="I26" s="53" t="s">
        <v>78</v>
      </c>
      <c r="J26" s="53" t="s">
        <v>77</v>
      </c>
    </row>
    <row r="27" spans="4:12" x14ac:dyDescent="0.2">
      <c r="D27" s="20">
        <v>39</v>
      </c>
      <c r="E27" s="58">
        <f>SMALL(Cloud[Cloud 1],COUNTA(Cloud[[#Headers],[Cloud 1]]:Cloud[[#This Row],[Cloud 1]])-1)</f>
        <v>27</v>
      </c>
      <c r="F27" s="73">
        <f>COUNTIF(Cloud[[#Headers],[Cloud 1 Sorted]]:Cloud[[#This Row],[Cloud 1 Sorted]],Cloud[[#This Row],[Cloud 1 Sorted]])</f>
        <v>2</v>
      </c>
      <c r="G27" s="60">
        <f>IF(Cloud[[#This Row],[Cloud 1: 1st position]]=1,J$9,G26+J$10)</f>
        <v>1</v>
      </c>
      <c r="I27" s="28">
        <f>J16</f>
        <v>43.5</v>
      </c>
      <c r="J27" s="50">
        <v>2.5</v>
      </c>
    </row>
    <row r="28" spans="4:12" x14ac:dyDescent="0.2">
      <c r="D28" s="20">
        <v>53</v>
      </c>
      <c r="E28" s="58">
        <f>SMALL(Cloud[Cloud 1],COUNTA(Cloud[[#Headers],[Cloud 1]]:Cloud[[#This Row],[Cloud 1]])-1)</f>
        <v>28</v>
      </c>
      <c r="F28" s="73">
        <f>COUNTIF(Cloud[[#Headers],[Cloud 1 Sorted]]:Cloud[[#This Row],[Cloud 1 Sorted]],Cloud[[#This Row],[Cloud 1 Sorted]])</f>
        <v>1</v>
      </c>
      <c r="G28" s="60">
        <f>IF(Cloud[[#This Row],[Cloud 1: 1st position]]=1,J$9,G27+J$10)</f>
        <v>1.5</v>
      </c>
    </row>
    <row r="29" spans="4:12" x14ac:dyDescent="0.2">
      <c r="D29" s="20">
        <v>68</v>
      </c>
      <c r="E29" s="58">
        <f>SMALL(Cloud[Cloud 1],COUNTA(Cloud[[#Headers],[Cloud 1]]:Cloud[[#This Row],[Cloud 1]])-1)</f>
        <v>28</v>
      </c>
      <c r="F29" s="73">
        <f>COUNTIF(Cloud[[#Headers],[Cloud 1 Sorted]]:Cloud[[#This Row],[Cloud 1 Sorted]],Cloud[[#This Row],[Cloud 1 Sorted]])</f>
        <v>2</v>
      </c>
      <c r="G29" s="60">
        <f>IF(Cloud[[#This Row],[Cloud 1: 1st position]]=1,J$9,G28+J$10)</f>
        <v>1</v>
      </c>
      <c r="I29" s="53" t="s">
        <v>87</v>
      </c>
      <c r="J29" s="53"/>
    </row>
    <row r="30" spans="4:12" x14ac:dyDescent="0.2">
      <c r="D30" s="20">
        <v>60</v>
      </c>
      <c r="E30" s="58">
        <f>SMALL(Cloud[Cloud 1],COUNTA(Cloud[[#Headers],[Cloud 1]]:Cloud[[#This Row],[Cloud 1]])-1)</f>
        <v>29</v>
      </c>
      <c r="F30" s="73">
        <f>COUNTIF(Cloud[[#Headers],[Cloud 1 Sorted]]:Cloud[[#This Row],[Cloud 1 Sorted]],Cloud[[#This Row],[Cloud 1 Sorted]])</f>
        <v>1</v>
      </c>
      <c r="G30" s="60">
        <f>IF(Cloud[[#This Row],[Cloud 1: 1st position]]=1,J$9,G29+J$10)</f>
        <v>1.5</v>
      </c>
      <c r="I30" s="51" t="s">
        <v>80</v>
      </c>
      <c r="J30" s="28">
        <f>-J16+J18</f>
        <v>46.5</v>
      </c>
    </row>
    <row r="31" spans="4:12" x14ac:dyDescent="0.2">
      <c r="D31" s="20">
        <v>8</v>
      </c>
      <c r="E31" s="58">
        <f>SMALL(Cloud[Cloud 1],COUNTA(Cloud[[#Headers],[Cloud 1]]:Cloud[[#This Row],[Cloud 1]])-1)</f>
        <v>29</v>
      </c>
      <c r="F31" s="73">
        <f>COUNTIF(Cloud[[#Headers],[Cloud 1 Sorted]]:Cloud[[#This Row],[Cloud 1 Sorted]],Cloud[[#This Row],[Cloud 1 Sorted]])</f>
        <v>2</v>
      </c>
      <c r="G31" s="60">
        <f>IF(Cloud[[#This Row],[Cloud 1: 1st position]]=1,J$9,G30+J$10)</f>
        <v>1</v>
      </c>
      <c r="I31" s="51" t="s">
        <v>79</v>
      </c>
      <c r="J31" s="28">
        <f>J16-J14</f>
        <v>31.6</v>
      </c>
    </row>
    <row r="32" spans="4:12" x14ac:dyDescent="0.2">
      <c r="D32" s="20">
        <v>8</v>
      </c>
      <c r="E32" s="58">
        <f>SMALL(Cloud[Cloud 1],COUNTA(Cloud[[#Headers],[Cloud 1]]:Cloud[[#This Row],[Cloud 1]])-1)</f>
        <v>31</v>
      </c>
      <c r="F32" s="73">
        <f>COUNTIF(Cloud[[#Headers],[Cloud 1 Sorted]]:Cloud[[#This Row],[Cloud 1 Sorted]],Cloud[[#This Row],[Cloud 1 Sorted]])</f>
        <v>1</v>
      </c>
      <c r="G32" s="60">
        <f>IF(Cloud[[#This Row],[Cloud 1: 1st position]]=1,J$9,G31+J$10)</f>
        <v>1.5</v>
      </c>
    </row>
    <row r="33" spans="4:7" x14ac:dyDescent="0.2">
      <c r="D33" s="20">
        <v>31</v>
      </c>
      <c r="E33" s="58">
        <f>SMALL(Cloud[Cloud 1],COUNTA(Cloud[[#Headers],[Cloud 1]]:Cloud[[#This Row],[Cloud 1]])-1)</f>
        <v>31</v>
      </c>
      <c r="F33" s="73">
        <f>COUNTIF(Cloud[[#Headers],[Cloud 1 Sorted]]:Cloud[[#This Row],[Cloud 1 Sorted]],Cloud[[#This Row],[Cloud 1 Sorted]])</f>
        <v>2</v>
      </c>
      <c r="G33" s="60">
        <f>IF(Cloud[[#This Row],[Cloud 1: 1st position]]=1,J$9,G32+J$10)</f>
        <v>1</v>
      </c>
    </row>
    <row r="34" spans="4:7" x14ac:dyDescent="0.2">
      <c r="D34" s="20">
        <v>19</v>
      </c>
      <c r="E34" s="58">
        <f>SMALL(Cloud[Cloud 1],COUNTA(Cloud[[#Headers],[Cloud 1]]:Cloud[[#This Row],[Cloud 1]])-1)</f>
        <v>31</v>
      </c>
      <c r="F34" s="73">
        <f>COUNTIF(Cloud[[#Headers],[Cloud 1 Sorted]]:Cloud[[#This Row],[Cloud 1 Sorted]],Cloud[[#This Row],[Cloud 1 Sorted]])</f>
        <v>3</v>
      </c>
      <c r="G34" s="60">
        <f>IF(Cloud[[#This Row],[Cloud 1: 1st position]]=1,J$9,G33+J$10)</f>
        <v>0.5</v>
      </c>
    </row>
    <row r="35" spans="4:7" x14ac:dyDescent="0.2">
      <c r="D35" s="20">
        <v>56</v>
      </c>
      <c r="E35" s="58">
        <f>SMALL(Cloud[Cloud 1],COUNTA(Cloud[[#Headers],[Cloud 1]]:Cloud[[#This Row],[Cloud 1]])-1)</f>
        <v>33</v>
      </c>
      <c r="F35" s="73">
        <f>COUNTIF(Cloud[[#Headers],[Cloud 1 Sorted]]:Cloud[[#This Row],[Cloud 1 Sorted]],Cloud[[#This Row],[Cloud 1 Sorted]])</f>
        <v>1</v>
      </c>
      <c r="G35" s="60">
        <f>IF(Cloud[[#This Row],[Cloud 1: 1st position]]=1,J$9,G34+J$10)</f>
        <v>1.5</v>
      </c>
    </row>
    <row r="36" spans="4:7" x14ac:dyDescent="0.2">
      <c r="D36" s="20">
        <v>67</v>
      </c>
      <c r="E36" s="58">
        <f>SMALL(Cloud[Cloud 1],COUNTA(Cloud[[#Headers],[Cloud 1]]:Cloud[[#This Row],[Cloud 1]])-1)</f>
        <v>34</v>
      </c>
      <c r="F36" s="73">
        <f>COUNTIF(Cloud[[#Headers],[Cloud 1 Sorted]]:Cloud[[#This Row],[Cloud 1 Sorted]],Cloud[[#This Row],[Cloud 1 Sorted]])</f>
        <v>1</v>
      </c>
      <c r="G36" s="60">
        <f>IF(Cloud[[#This Row],[Cloud 1: 1st position]]=1,J$9,G35+J$10)</f>
        <v>1.5</v>
      </c>
    </row>
    <row r="37" spans="4:7" x14ac:dyDescent="0.2">
      <c r="D37" s="20">
        <v>90</v>
      </c>
      <c r="E37" s="58">
        <f>SMALL(Cloud[Cloud 1],COUNTA(Cloud[[#Headers],[Cloud 1]]:Cloud[[#This Row],[Cloud 1]])-1)</f>
        <v>38</v>
      </c>
      <c r="F37" s="73">
        <f>COUNTIF(Cloud[[#Headers],[Cloud 1 Sorted]]:Cloud[[#This Row],[Cloud 1 Sorted]],Cloud[[#This Row],[Cloud 1 Sorted]])</f>
        <v>1</v>
      </c>
      <c r="G37" s="60">
        <f>IF(Cloud[[#This Row],[Cloud 1: 1st position]]=1,J$9,G36+J$10)</f>
        <v>1.5</v>
      </c>
    </row>
    <row r="38" spans="4:7" x14ac:dyDescent="0.2">
      <c r="D38" s="20">
        <v>28</v>
      </c>
      <c r="E38" s="58">
        <f>SMALL(Cloud[Cloud 1],COUNTA(Cloud[[#Headers],[Cloud 1]]:Cloud[[#This Row],[Cloud 1]])-1)</f>
        <v>39</v>
      </c>
      <c r="F38" s="73">
        <f>COUNTIF(Cloud[[#Headers],[Cloud 1 Sorted]]:Cloud[[#This Row],[Cloud 1 Sorted]],Cloud[[#This Row],[Cloud 1 Sorted]])</f>
        <v>1</v>
      </c>
      <c r="G38" s="60">
        <f>IF(Cloud[[#This Row],[Cloud 1: 1st position]]=1,J$9,G37+J$10)</f>
        <v>1.5</v>
      </c>
    </row>
    <row r="39" spans="4:7" x14ac:dyDescent="0.2">
      <c r="D39" s="20">
        <v>11</v>
      </c>
      <c r="E39" s="58">
        <f>SMALL(Cloud[Cloud 1],COUNTA(Cloud[[#Headers],[Cloud 1]]:Cloud[[#This Row],[Cloud 1]])-1)</f>
        <v>43</v>
      </c>
      <c r="F39" s="73">
        <f>COUNTIF(Cloud[[#Headers],[Cloud 1 Sorted]]:Cloud[[#This Row],[Cloud 1 Sorted]],Cloud[[#This Row],[Cloud 1 Sorted]])</f>
        <v>1</v>
      </c>
      <c r="G39" s="60">
        <f>IF(Cloud[[#This Row],[Cloud 1: 1st position]]=1,J$9,G38+J$10)</f>
        <v>1.5</v>
      </c>
    </row>
    <row r="40" spans="4:7" x14ac:dyDescent="0.2">
      <c r="D40" s="20">
        <v>62</v>
      </c>
      <c r="E40" s="58">
        <f>SMALL(Cloud[Cloud 1],COUNTA(Cloud[[#Headers],[Cloud 1]]:Cloud[[#This Row],[Cloud 1]])-1)</f>
        <v>44</v>
      </c>
      <c r="F40" s="73">
        <f>COUNTIF(Cloud[[#Headers],[Cloud 1 Sorted]]:Cloud[[#This Row],[Cloud 1 Sorted]],Cloud[[#This Row],[Cloud 1 Sorted]])</f>
        <v>1</v>
      </c>
      <c r="G40" s="60">
        <f>IF(Cloud[[#This Row],[Cloud 1: 1st position]]=1,J$9,G39+J$10)</f>
        <v>1.5</v>
      </c>
    </row>
    <row r="41" spans="4:7" x14ac:dyDescent="0.2">
      <c r="D41" s="20">
        <v>50</v>
      </c>
      <c r="E41" s="58">
        <f>SMALL(Cloud[Cloud 1],COUNTA(Cloud[[#Headers],[Cloud 1]]:Cloud[[#This Row],[Cloud 1]])-1)</f>
        <v>48</v>
      </c>
      <c r="F41" s="73">
        <f>COUNTIF(Cloud[[#Headers],[Cloud 1 Sorted]]:Cloud[[#This Row],[Cloud 1 Sorted]],Cloud[[#This Row],[Cloud 1 Sorted]])</f>
        <v>1</v>
      </c>
      <c r="G41" s="60">
        <f>IF(Cloud[[#This Row],[Cloud 1: 1st position]]=1,J$9,G40+J$10)</f>
        <v>1.5</v>
      </c>
    </row>
    <row r="42" spans="4:7" x14ac:dyDescent="0.2">
      <c r="D42" s="20">
        <v>48</v>
      </c>
      <c r="E42" s="58">
        <f>SMALL(Cloud[Cloud 1],COUNTA(Cloud[[#Headers],[Cloud 1]]:Cloud[[#This Row],[Cloud 1]])-1)</f>
        <v>48</v>
      </c>
      <c r="F42" s="73">
        <f>COUNTIF(Cloud[[#Headers],[Cloud 1 Sorted]]:Cloud[[#This Row],[Cloud 1 Sorted]],Cloud[[#This Row],[Cloud 1 Sorted]])</f>
        <v>2</v>
      </c>
      <c r="G42" s="60">
        <f>IF(Cloud[[#This Row],[Cloud 1: 1st position]]=1,J$9,G41+J$10)</f>
        <v>1</v>
      </c>
    </row>
    <row r="43" spans="4:7" x14ac:dyDescent="0.2">
      <c r="D43" s="20">
        <v>21</v>
      </c>
      <c r="E43" s="58">
        <f>SMALL(Cloud[Cloud 1],COUNTA(Cloud[[#Headers],[Cloud 1]]:Cloud[[#This Row],[Cloud 1]])-1)</f>
        <v>50</v>
      </c>
      <c r="F43" s="73">
        <f>COUNTIF(Cloud[[#Headers],[Cloud 1 Sorted]]:Cloud[[#This Row],[Cloud 1 Sorted]],Cloud[[#This Row],[Cloud 1 Sorted]])</f>
        <v>1</v>
      </c>
      <c r="G43" s="60">
        <f>IF(Cloud[[#This Row],[Cloud 1: 1st position]]=1,J$9,G42+J$10)</f>
        <v>1.5</v>
      </c>
    </row>
    <row r="44" spans="4:7" x14ac:dyDescent="0.2">
      <c r="D44" s="20">
        <v>51</v>
      </c>
      <c r="E44" s="58">
        <f>SMALL(Cloud[Cloud 1],COUNTA(Cloud[[#Headers],[Cloud 1]]:Cloud[[#This Row],[Cloud 1]])-1)</f>
        <v>51</v>
      </c>
      <c r="F44" s="73">
        <f>COUNTIF(Cloud[[#Headers],[Cloud 1 Sorted]]:Cloud[[#This Row],[Cloud 1 Sorted]],Cloud[[#This Row],[Cloud 1 Sorted]])</f>
        <v>1</v>
      </c>
      <c r="G44" s="60">
        <f>IF(Cloud[[#This Row],[Cloud 1: 1st position]]=1,J$9,G43+J$10)</f>
        <v>1.5</v>
      </c>
    </row>
    <row r="45" spans="4:7" x14ac:dyDescent="0.2">
      <c r="D45" s="20">
        <v>33</v>
      </c>
      <c r="E45" s="58">
        <f>SMALL(Cloud[Cloud 1],COUNTA(Cloud[[#Headers],[Cloud 1]]:Cloud[[#This Row],[Cloud 1]])-1)</f>
        <v>52</v>
      </c>
      <c r="F45" s="73">
        <f>COUNTIF(Cloud[[#Headers],[Cloud 1 Sorted]]:Cloud[[#This Row],[Cloud 1 Sorted]],Cloud[[#This Row],[Cloud 1 Sorted]])</f>
        <v>1</v>
      </c>
      <c r="G45" s="60">
        <f>IF(Cloud[[#This Row],[Cloud 1: 1st position]]=1,J$9,G44+J$10)</f>
        <v>1.5</v>
      </c>
    </row>
    <row r="46" spans="4:7" x14ac:dyDescent="0.2">
      <c r="D46" s="20">
        <v>13</v>
      </c>
      <c r="E46" s="58">
        <f>SMALL(Cloud[Cloud 1],COUNTA(Cloud[[#Headers],[Cloud 1]]:Cloud[[#This Row],[Cloud 1]])-1)</f>
        <v>53</v>
      </c>
      <c r="F46" s="73">
        <f>COUNTIF(Cloud[[#Headers],[Cloud 1 Sorted]]:Cloud[[#This Row],[Cloud 1 Sorted]],Cloud[[#This Row],[Cloud 1 Sorted]])</f>
        <v>1</v>
      </c>
      <c r="G46" s="60">
        <f>IF(Cloud[[#This Row],[Cloud 1: 1st position]]=1,J$9,G45+J$10)</f>
        <v>1.5</v>
      </c>
    </row>
    <row r="47" spans="4:7" x14ac:dyDescent="0.2">
      <c r="D47" s="20">
        <v>63</v>
      </c>
      <c r="E47" s="58">
        <f>SMALL(Cloud[Cloud 1],COUNTA(Cloud[[#Headers],[Cloud 1]]:Cloud[[#This Row],[Cloud 1]])-1)</f>
        <v>53</v>
      </c>
      <c r="F47" s="73">
        <f>COUNTIF(Cloud[[#Headers],[Cloud 1 Sorted]]:Cloud[[#This Row],[Cloud 1 Sorted]],Cloud[[#This Row],[Cloud 1 Sorted]])</f>
        <v>2</v>
      </c>
      <c r="G47" s="60">
        <f>IF(Cloud[[#This Row],[Cloud 1: 1st position]]=1,J$9,G46+J$10)</f>
        <v>1</v>
      </c>
    </row>
    <row r="48" spans="4:7" x14ac:dyDescent="0.2">
      <c r="D48" s="20">
        <v>73</v>
      </c>
      <c r="E48" s="58">
        <f>SMALL(Cloud[Cloud 1],COUNTA(Cloud[[#Headers],[Cloud 1]]:Cloud[[#This Row],[Cloud 1]])-1)</f>
        <v>56</v>
      </c>
      <c r="F48" s="73">
        <f>COUNTIF(Cloud[[#Headers],[Cloud 1 Sorted]]:Cloud[[#This Row],[Cloud 1 Sorted]],Cloud[[#This Row],[Cloud 1 Sorted]])</f>
        <v>1</v>
      </c>
      <c r="G48" s="60">
        <f>IF(Cloud[[#This Row],[Cloud 1: 1st position]]=1,J$9,G47+J$10)</f>
        <v>1.5</v>
      </c>
    </row>
    <row r="49" spans="4:7" x14ac:dyDescent="0.2">
      <c r="D49" s="20">
        <v>99</v>
      </c>
      <c r="E49" s="58">
        <f>SMALL(Cloud[Cloud 1],COUNTA(Cloud[[#Headers],[Cloud 1]]:Cloud[[#This Row],[Cloud 1]])-1)</f>
        <v>56</v>
      </c>
      <c r="F49" s="73">
        <f>COUNTIF(Cloud[[#Headers],[Cloud 1 Sorted]]:Cloud[[#This Row],[Cloud 1 Sorted]],Cloud[[#This Row],[Cloud 1 Sorted]])</f>
        <v>2</v>
      </c>
      <c r="G49" s="60">
        <f>IF(Cloud[[#This Row],[Cloud 1: 1st position]]=1,J$9,G48+J$10)</f>
        <v>1</v>
      </c>
    </row>
    <row r="50" spans="4:7" x14ac:dyDescent="0.2">
      <c r="D50" s="20">
        <v>38</v>
      </c>
      <c r="E50" s="58">
        <f>SMALL(Cloud[Cloud 1],COUNTA(Cloud[[#Headers],[Cloud 1]]:Cloud[[#This Row],[Cloud 1]])-1)</f>
        <v>60</v>
      </c>
      <c r="F50" s="73">
        <f>COUNTIF(Cloud[[#Headers],[Cloud 1 Sorted]]:Cloud[[#This Row],[Cloud 1 Sorted]],Cloud[[#This Row],[Cloud 1 Sorted]])</f>
        <v>1</v>
      </c>
      <c r="G50" s="60">
        <f>IF(Cloud[[#This Row],[Cloud 1: 1st position]]=1,J$9,G49+J$10)</f>
        <v>1.5</v>
      </c>
    </row>
    <row r="51" spans="4:7" x14ac:dyDescent="0.2">
      <c r="D51" s="20">
        <v>67</v>
      </c>
      <c r="E51" s="58">
        <f>SMALL(Cloud[Cloud 1],COUNTA(Cloud[[#Headers],[Cloud 1]]:Cloud[[#This Row],[Cloud 1]])-1)</f>
        <v>60</v>
      </c>
      <c r="F51" s="73">
        <f>COUNTIF(Cloud[[#Headers],[Cloud 1 Sorted]]:Cloud[[#This Row],[Cloud 1 Sorted]],Cloud[[#This Row],[Cloud 1 Sorted]])</f>
        <v>2</v>
      </c>
      <c r="G51" s="60">
        <f>IF(Cloud[[#This Row],[Cloud 1: 1st position]]=1,J$9,G50+J$10)</f>
        <v>1</v>
      </c>
    </row>
    <row r="52" spans="4:7" x14ac:dyDescent="0.2">
      <c r="D52" s="20">
        <v>1</v>
      </c>
      <c r="E52" s="58">
        <f>SMALL(Cloud[Cloud 1],COUNTA(Cloud[[#Headers],[Cloud 1]]:Cloud[[#This Row],[Cloud 1]])-1)</f>
        <v>62</v>
      </c>
      <c r="F52" s="73">
        <f>COUNTIF(Cloud[[#Headers],[Cloud 1 Sorted]]:Cloud[[#This Row],[Cloud 1 Sorted]],Cloud[[#This Row],[Cloud 1 Sorted]])</f>
        <v>1</v>
      </c>
      <c r="G52" s="60">
        <f>IF(Cloud[[#This Row],[Cloud 1: 1st position]]=1,J$9,G51+J$10)</f>
        <v>1.5</v>
      </c>
    </row>
    <row r="53" spans="4:7" x14ac:dyDescent="0.2">
      <c r="D53" s="20">
        <v>68</v>
      </c>
      <c r="E53" s="58">
        <f>SMALL(Cloud[Cloud 1],COUNTA(Cloud[[#Headers],[Cloud 1]]:Cloud[[#This Row],[Cloud 1]])-1)</f>
        <v>63</v>
      </c>
      <c r="F53" s="73">
        <f>COUNTIF(Cloud[[#Headers],[Cloud 1 Sorted]]:Cloud[[#This Row],[Cloud 1 Sorted]],Cloud[[#This Row],[Cloud 1 Sorted]])</f>
        <v>1</v>
      </c>
      <c r="G53" s="60">
        <f>IF(Cloud[[#This Row],[Cloud 1: 1st position]]=1,J$9,G52+J$10)</f>
        <v>1.5</v>
      </c>
    </row>
    <row r="54" spans="4:7" x14ac:dyDescent="0.2">
      <c r="D54" s="20">
        <v>12</v>
      </c>
      <c r="E54" s="58">
        <f>SMALL(Cloud[Cloud 1],COUNTA(Cloud[[#Headers],[Cloud 1]]:Cloud[[#This Row],[Cloud 1]])-1)</f>
        <v>64</v>
      </c>
      <c r="F54" s="73">
        <f>COUNTIF(Cloud[[#Headers],[Cloud 1 Sorted]]:Cloud[[#This Row],[Cloud 1 Sorted]],Cloud[[#This Row],[Cloud 1 Sorted]])</f>
        <v>1</v>
      </c>
      <c r="G54" s="60">
        <f>IF(Cloud[[#This Row],[Cloud 1: 1st position]]=1,J$9,G53+J$10)</f>
        <v>1.5</v>
      </c>
    </row>
    <row r="55" spans="4:7" x14ac:dyDescent="0.2">
      <c r="D55" s="20">
        <v>10</v>
      </c>
      <c r="E55" s="58">
        <f>SMALL(Cloud[Cloud 1],COUNTA(Cloud[[#Headers],[Cloud 1]]:Cloud[[#This Row],[Cloud 1]])-1)</f>
        <v>67</v>
      </c>
      <c r="F55" s="73">
        <f>COUNTIF(Cloud[[#Headers],[Cloud 1 Sorted]]:Cloud[[#This Row],[Cloud 1 Sorted]],Cloud[[#This Row],[Cloud 1 Sorted]])</f>
        <v>1</v>
      </c>
      <c r="G55" s="60">
        <f>IF(Cloud[[#This Row],[Cloud 1: 1st position]]=1,J$9,G54+J$10)</f>
        <v>1.5</v>
      </c>
    </row>
    <row r="56" spans="4:7" x14ac:dyDescent="0.2">
      <c r="D56" s="20">
        <v>92</v>
      </c>
      <c r="E56" s="58">
        <f>SMALL(Cloud[Cloud 1],COUNTA(Cloud[[#Headers],[Cloud 1]]:Cloud[[#This Row],[Cloud 1]])-1)</f>
        <v>67</v>
      </c>
      <c r="F56" s="73">
        <f>COUNTIF(Cloud[[#Headers],[Cloud 1 Sorted]]:Cloud[[#This Row],[Cloud 1 Sorted]],Cloud[[#This Row],[Cloud 1 Sorted]])</f>
        <v>2</v>
      </c>
      <c r="G56" s="60">
        <f>IF(Cloud[[#This Row],[Cloud 1: 1st position]]=1,J$9,G55+J$10)</f>
        <v>1</v>
      </c>
    </row>
    <row r="57" spans="4:7" x14ac:dyDescent="0.2">
      <c r="D57" s="20">
        <v>68</v>
      </c>
      <c r="E57" s="58">
        <f>SMALL(Cloud[Cloud 1],COUNTA(Cloud[[#Headers],[Cloud 1]]:Cloud[[#This Row],[Cloud 1]])-1)</f>
        <v>68</v>
      </c>
      <c r="F57" s="73">
        <f>COUNTIF(Cloud[[#Headers],[Cloud 1 Sorted]]:Cloud[[#This Row],[Cloud 1 Sorted]],Cloud[[#This Row],[Cloud 1 Sorted]])</f>
        <v>1</v>
      </c>
      <c r="G57" s="60">
        <f>IF(Cloud[[#This Row],[Cloud 1: 1st position]]=1,J$9,G56+J$10)</f>
        <v>1.5</v>
      </c>
    </row>
    <row r="58" spans="4:7" x14ac:dyDescent="0.2">
      <c r="D58" s="20">
        <v>29</v>
      </c>
      <c r="E58" s="58">
        <f>SMALL(Cloud[Cloud 1],COUNTA(Cloud[[#Headers],[Cloud 1]]:Cloud[[#This Row],[Cloud 1]])-1)</f>
        <v>68</v>
      </c>
      <c r="F58" s="73">
        <f>COUNTIF(Cloud[[#Headers],[Cloud 1 Sorted]]:Cloud[[#This Row],[Cloud 1 Sorted]],Cloud[[#This Row],[Cloud 1 Sorted]])</f>
        <v>2</v>
      </c>
      <c r="G58" s="60">
        <f>IF(Cloud[[#This Row],[Cloud 1: 1st position]]=1,J$9,G57+J$10)</f>
        <v>1</v>
      </c>
    </row>
    <row r="59" spans="4:7" x14ac:dyDescent="0.2">
      <c r="D59" s="20">
        <v>31</v>
      </c>
      <c r="E59" s="58">
        <f>SMALL(Cloud[Cloud 1],COUNTA(Cloud[[#Headers],[Cloud 1]]:Cloud[[#This Row],[Cloud 1]])-1)</f>
        <v>68</v>
      </c>
      <c r="F59" s="73">
        <f>COUNTIF(Cloud[[#Headers],[Cloud 1 Sorted]]:Cloud[[#This Row],[Cloud 1 Sorted]],Cloud[[#This Row],[Cloud 1 Sorted]])</f>
        <v>3</v>
      </c>
      <c r="G59" s="60">
        <f>IF(Cloud[[#This Row],[Cloud 1: 1st position]]=1,J$9,G58+J$10)</f>
        <v>0.5</v>
      </c>
    </row>
    <row r="60" spans="4:7" x14ac:dyDescent="0.2">
      <c r="D60" s="20">
        <v>34</v>
      </c>
      <c r="E60" s="58">
        <f>SMALL(Cloud[Cloud 1],COUNTA(Cloud[[#Headers],[Cloud 1]]:Cloud[[#This Row],[Cloud 1]])-1)</f>
        <v>70</v>
      </c>
      <c r="F60" s="73">
        <f>COUNTIF(Cloud[[#Headers],[Cloud 1 Sorted]]:Cloud[[#This Row],[Cloud 1 Sorted]],Cloud[[#This Row],[Cloud 1 Sorted]])</f>
        <v>1</v>
      </c>
      <c r="G60" s="60">
        <f>IF(Cloud[[#This Row],[Cloud 1: 1st position]]=1,J$9,G59+J$10)</f>
        <v>1.5</v>
      </c>
    </row>
    <row r="61" spans="4:7" x14ac:dyDescent="0.2">
      <c r="D61" s="20">
        <v>12</v>
      </c>
      <c r="E61" s="58">
        <f>SMALL(Cloud[Cloud 1],COUNTA(Cloud[[#Headers],[Cloud 1]]:Cloud[[#This Row],[Cloud 1]])-1)</f>
        <v>73</v>
      </c>
      <c r="F61" s="73">
        <f>COUNTIF(Cloud[[#Headers],[Cloud 1 Sorted]]:Cloud[[#This Row],[Cloud 1 Sorted]],Cloud[[#This Row],[Cloud 1 Sorted]])</f>
        <v>1</v>
      </c>
      <c r="G61" s="60">
        <f>IF(Cloud[[#This Row],[Cloud 1: 1st position]]=1,J$9,G60+J$10)</f>
        <v>1.5</v>
      </c>
    </row>
    <row r="62" spans="4:7" x14ac:dyDescent="0.2">
      <c r="D62" s="20">
        <v>78</v>
      </c>
      <c r="E62" s="58">
        <f>SMALL(Cloud[Cloud 1],COUNTA(Cloud[[#Headers],[Cloud 1]]:Cloud[[#This Row],[Cloud 1]])-1)</f>
        <v>78</v>
      </c>
      <c r="F62" s="73">
        <f>COUNTIF(Cloud[[#Headers],[Cloud 1 Sorted]]:Cloud[[#This Row],[Cloud 1 Sorted]],Cloud[[#This Row],[Cloud 1 Sorted]])</f>
        <v>1</v>
      </c>
      <c r="G62" s="60">
        <f>IF(Cloud[[#This Row],[Cloud 1: 1st position]]=1,J$9,G61+J$10)</f>
        <v>1.5</v>
      </c>
    </row>
    <row r="63" spans="4:7" x14ac:dyDescent="0.2">
      <c r="D63" s="20">
        <v>28</v>
      </c>
      <c r="E63" s="58">
        <f>SMALL(Cloud[Cloud 1],COUNTA(Cloud[[#Headers],[Cloud 1]]:Cloud[[#This Row],[Cloud 1]])-1)</f>
        <v>90</v>
      </c>
      <c r="F63" s="73">
        <f>COUNTIF(Cloud[[#Headers],[Cloud 1 Sorted]]:Cloud[[#This Row],[Cloud 1 Sorted]],Cloud[[#This Row],[Cloud 1 Sorted]])</f>
        <v>1</v>
      </c>
      <c r="G63" s="60">
        <f>IF(Cloud[[#This Row],[Cloud 1: 1st position]]=1,J$9,G62+J$10)</f>
        <v>1.5</v>
      </c>
    </row>
    <row r="64" spans="4:7" x14ac:dyDescent="0.2">
      <c r="D64" s="20">
        <v>64</v>
      </c>
      <c r="E64" s="58">
        <f>SMALL(Cloud[Cloud 1],COUNTA(Cloud[[#Headers],[Cloud 1]]:Cloud[[#This Row],[Cloud 1]])-1)</f>
        <v>90</v>
      </c>
      <c r="F64" s="73">
        <f>COUNTIF(Cloud[[#Headers],[Cloud 1 Sorted]]:Cloud[[#This Row],[Cloud 1 Sorted]],Cloud[[#This Row],[Cloud 1 Sorted]])</f>
        <v>2</v>
      </c>
      <c r="G64" s="60">
        <f>IF(Cloud[[#This Row],[Cloud 1: 1st position]]=1,J$9,G63+J$10)</f>
        <v>1</v>
      </c>
    </row>
    <row r="65" spans="4:7" x14ac:dyDescent="0.2">
      <c r="D65" s="20">
        <v>60</v>
      </c>
      <c r="E65" s="58">
        <f>SMALL(Cloud[Cloud 1],COUNTA(Cloud[[#Headers],[Cloud 1]]:Cloud[[#This Row],[Cloud 1]])-1)</f>
        <v>92</v>
      </c>
      <c r="F65" s="73">
        <f>COUNTIF(Cloud[[#Headers],[Cloud 1 Sorted]]:Cloud[[#This Row],[Cloud 1 Sorted]],Cloud[[#This Row],[Cloud 1 Sorted]])</f>
        <v>1</v>
      </c>
      <c r="G65" s="60">
        <f>IF(Cloud[[#This Row],[Cloud 1: 1st position]]=1,J$9,G64+J$10)</f>
        <v>1.5</v>
      </c>
    </row>
    <row r="66" spans="4:7" x14ac:dyDescent="0.2">
      <c r="D66" s="20">
        <v>56</v>
      </c>
      <c r="E66" s="58">
        <f>SMALL(Cloud[Cloud 1],COUNTA(Cloud[[#Headers],[Cloud 1]]:Cloud[[#This Row],[Cloud 1]])-1)</f>
        <v>92</v>
      </c>
      <c r="F66" s="73">
        <f>COUNTIF(Cloud[[#Headers],[Cloud 1 Sorted]]:Cloud[[#This Row],[Cloud 1 Sorted]],Cloud[[#This Row],[Cloud 1 Sorted]])</f>
        <v>2</v>
      </c>
      <c r="G66" s="60">
        <f>IF(Cloud[[#This Row],[Cloud 1: 1st position]]=1,J$9,G65+J$10)</f>
        <v>1</v>
      </c>
    </row>
    <row r="67" spans="4:7" x14ac:dyDescent="0.2">
      <c r="D67" s="20">
        <v>52</v>
      </c>
      <c r="E67" s="58">
        <f>SMALL(Cloud[Cloud 1],COUNTA(Cloud[[#Headers],[Cloud 1]]:Cloud[[#This Row],[Cloud 1]])-1)</f>
        <v>93</v>
      </c>
      <c r="F67" s="73">
        <f>COUNTIF(Cloud[[#Headers],[Cloud 1 Sorted]]:Cloud[[#This Row],[Cloud 1 Sorted]],Cloud[[#This Row],[Cloud 1 Sorted]])</f>
        <v>1</v>
      </c>
      <c r="G67" s="60">
        <f>IF(Cloud[[#This Row],[Cloud 1: 1st position]]=1,J$9,G66+J$10)</f>
        <v>1.5</v>
      </c>
    </row>
    <row r="68" spans="4:7" x14ac:dyDescent="0.2">
      <c r="D68" s="20">
        <v>48</v>
      </c>
      <c r="E68" s="58">
        <f>SMALL(Cloud[Cloud 1],COUNTA(Cloud[[#Headers],[Cloud 1]]:Cloud[[#This Row],[Cloud 1]])-1)</f>
        <v>95</v>
      </c>
      <c r="F68" s="73">
        <f>COUNTIF(Cloud[[#Headers],[Cloud 1 Sorted]]:Cloud[[#This Row],[Cloud 1 Sorted]],Cloud[[#This Row],[Cloud 1 Sorted]])</f>
        <v>1</v>
      </c>
      <c r="G68" s="60">
        <f>IF(Cloud[[#This Row],[Cloud 1: 1st position]]=1,J$9,G67+J$10)</f>
        <v>1.5</v>
      </c>
    </row>
    <row r="69" spans="4:7" x14ac:dyDescent="0.2">
      <c r="D69" s="20">
        <v>44</v>
      </c>
      <c r="E69" s="58">
        <f>SMALL(Cloud[Cloud 1],COUNTA(Cloud[[#Headers],[Cloud 1]]:Cloud[[#This Row],[Cloud 1]])-1)</f>
        <v>99</v>
      </c>
      <c r="F69" s="74">
        <f>COUNTIF(Cloud[[#Headers],[Cloud 1 Sorted]]:Cloud[[#This Row],[Cloud 1 Sorted]],Cloud[[#This Row],[Cloud 1 Sorted]])</f>
        <v>1</v>
      </c>
      <c r="G69" s="28">
        <f>IF(Cloud[[#This Row],[Cloud 1: 1st position]]=1,J$9,G68+J$10)</f>
        <v>1.5</v>
      </c>
    </row>
  </sheetData>
  <mergeCells count="1">
    <mergeCell ref="A3:F3"/>
  </mergeCells>
  <phoneticPr fontId="8" type="noConversion"/>
  <conditionalFormatting sqref="G4">
    <cfRule type="cellIs" dxfId="6" priority="1" operator="notEqual">
      <formula>0</formula>
    </cfRule>
  </conditionalFormatting>
  <hyperlinks>
    <hyperlink ref="G4" location="Overall_Error_Check" tooltip="Go to Overall Error Check" display="Overall_Error_Check" xr:uid="{EAB1AD8F-EE44-4A67-AF54-6AA7640A6E4F}"/>
    <hyperlink ref="A3:F3" location="HL_Navigator" tooltip="Go to Navigator (Table of Contents)" display="Navigator" xr:uid="{305A16D2-2512-44BC-A806-91A400F0316F}"/>
    <hyperlink ref="A3" location="HL_Navigator" display="Navigator" xr:uid="{C00E7630-A871-40F8-83AC-696C701C7FD9}"/>
  </hyperlinks>
  <pageMargins left="0.7" right="0.7" top="0.75" bottom="0.75" header="0.3" footer="0.3"/>
  <pageSetup paperSize="9" scale="59" fitToWidth="0" fitToHeight="0" orientation="landscape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8660E-75B4-4321-9DD0-A8A81F9CF0A3}">
  <sheetPr codeName="Sheet7"/>
  <dimension ref="A1:S137"/>
  <sheetViews>
    <sheetView showGridLines="0" tabSelected="1" topLeftCell="F1" zoomScaleNormal="100" zoomScaleSheetLayoutView="85" workbookViewId="0">
      <pane ySplit="4" topLeftCell="A5" activePane="bottomLeft" state="frozen"/>
      <selection activeCell="A3" sqref="A3:E3"/>
      <selection pane="bottomLeft" activeCell="J25" sqref="J25"/>
    </sheetView>
  </sheetViews>
  <sheetFormatPr defaultColWidth="9.140625" defaultRowHeight="12" x14ac:dyDescent="0.2"/>
  <cols>
    <col min="1" max="3" width="3.7109375" customWidth="1"/>
    <col min="4" max="4" width="9.140625" customWidth="1"/>
    <col min="5" max="5" width="15" customWidth="1"/>
    <col min="6" max="6" width="19.42578125" customWidth="1"/>
    <col min="7" max="7" width="18.140625" customWidth="1"/>
    <col min="8" max="8" width="17.42578125" bestFit="1" customWidth="1"/>
    <col min="9" max="12" width="15.85546875" customWidth="1"/>
    <col min="13" max="13" width="11.7109375" customWidth="1"/>
    <col min="14" max="19" width="8.85546875" customWidth="1"/>
  </cols>
  <sheetData>
    <row r="1" spans="1:19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Horz Raincloud True Cloud</v>
      </c>
    </row>
    <row r="2" spans="1:19" ht="18" x14ac:dyDescent="0.25">
      <c r="A2" s="41" t="str">
        <f ca="1">Model_Name</f>
        <v>SP Horizontal RainCloud Chart - Complete.xlsm</v>
      </c>
    </row>
    <row r="3" spans="1:19" x14ac:dyDescent="0.2">
      <c r="A3" s="78" t="s">
        <v>1</v>
      </c>
      <c r="B3" s="78"/>
      <c r="C3" s="78"/>
      <c r="D3" s="78"/>
      <c r="E3" s="78"/>
      <c r="F3" s="78"/>
    </row>
    <row r="4" spans="1:19" ht="14.25" x14ac:dyDescent="0.2">
      <c r="B4" t="s">
        <v>2</v>
      </c>
      <c r="G4" s="1">
        <f>Overall_Error_Check</f>
        <v>0</v>
      </c>
    </row>
    <row r="5" spans="1:19" x14ac:dyDescent="0.2">
      <c r="A5" s="11"/>
    </row>
    <row r="6" spans="1:19" ht="16.5" thickBot="1" x14ac:dyDescent="0.3">
      <c r="B6" s="42">
        <f>MAX($B$5:$B5)+1</f>
        <v>1</v>
      </c>
      <c r="C6" s="2" t="s">
        <v>88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ht="12.75" thickTop="1" x14ac:dyDescent="0.2"/>
    <row r="9" spans="1:19" x14ac:dyDescent="0.2">
      <c r="D9" s="13" t="s">
        <v>72</v>
      </c>
      <c r="E9" s="13" t="s">
        <v>99</v>
      </c>
      <c r="F9" s="71" t="s">
        <v>81</v>
      </c>
      <c r="G9" s="72" t="s">
        <v>82</v>
      </c>
      <c r="I9" s="51" t="s">
        <v>83</v>
      </c>
      <c r="J9" s="50">
        <v>10</v>
      </c>
    </row>
    <row r="10" spans="1:19" x14ac:dyDescent="0.2">
      <c r="D10" s="20">
        <f ca="1">RANDBETWEEN(1,100)</f>
        <v>95</v>
      </c>
      <c r="E10" s="58">
        <f ca="1">SMALL(Cloud6[Cloud 1],COUNTA(Cloud6[[#Headers],[Cloud 1]]:Cloud6[[#This Row],[Cloud 1]])-1)</f>
        <v>1</v>
      </c>
      <c r="F10" s="73">
        <f ca="1">COUNTIF(Cloud6[[#Headers],[Cloud 1 Sorted]]:Cloud6[[#This Row],[Cloud 1 Sorted]],Cloud6[[#This Row],[Cloud 1 Sorted]])</f>
        <v>1</v>
      </c>
      <c r="G10" s="60">
        <f ca="1">IF(Cloud6[[#This Row],[Cloud 1: 1st position]]=1,J$9,G9+J$10)</f>
        <v>10</v>
      </c>
      <c r="I10" s="51" t="s">
        <v>84</v>
      </c>
      <c r="J10" s="50">
        <v>-2</v>
      </c>
    </row>
    <row r="11" spans="1:19" x14ac:dyDescent="0.2">
      <c r="D11" s="20">
        <f t="shared" ref="D11:D74" ca="1" si="0">RANDBETWEEN(1,100)</f>
        <v>29</v>
      </c>
      <c r="E11" s="58">
        <f ca="1">SMALL(Cloud6[Cloud 1],COUNTA(Cloud6[[#Headers],[Cloud 1]]:Cloud6[[#This Row],[Cloud 1]])-1)</f>
        <v>2</v>
      </c>
      <c r="F11" s="73">
        <f ca="1">COUNTIF(Cloud6[[#Headers],[Cloud 1 Sorted]]:Cloud6[[#This Row],[Cloud 1 Sorted]],Cloud6[[#This Row],[Cloud 1 Sorted]])</f>
        <v>1</v>
      </c>
      <c r="G11" s="60">
        <f ca="1">IF(Cloud6[[#This Row],[Cloud 1: 1st position]]=1,J$9,G10+J$10)</f>
        <v>10</v>
      </c>
    </row>
    <row r="12" spans="1:19" x14ac:dyDescent="0.2">
      <c r="D12" s="20">
        <f t="shared" ca="1" si="0"/>
        <v>34</v>
      </c>
      <c r="E12" s="58">
        <f ca="1">SMALL(Cloud6[Cloud 1],COUNTA(Cloud6[[#Headers],[Cloud 1]]:Cloud6[[#This Row],[Cloud 1]])-1)</f>
        <v>4</v>
      </c>
      <c r="F12" s="73">
        <f ca="1">COUNTIF(Cloud6[[#Headers],[Cloud 1 Sorted]]:Cloud6[[#This Row],[Cloud 1 Sorted]],Cloud6[[#This Row],[Cloud 1 Sorted]])</f>
        <v>1</v>
      </c>
      <c r="G12" s="60">
        <f ca="1">IF(Cloud6[[#This Row],[Cloud 1: 1st position]]=1,J$9,G11+J$10)</f>
        <v>10</v>
      </c>
    </row>
    <row r="13" spans="1:19" x14ac:dyDescent="0.2">
      <c r="D13" s="20">
        <f t="shared" ca="1" si="0"/>
        <v>22</v>
      </c>
      <c r="E13" s="58">
        <f ca="1">SMALL(Cloud6[Cloud 1],COUNTA(Cloud6[[#Headers],[Cloud 1]]:Cloud6[[#This Row],[Cloud 1]])-1)</f>
        <v>5</v>
      </c>
      <c r="F13" s="73">
        <f ca="1">COUNTIF(Cloud6[[#Headers],[Cloud 1 Sorted]]:Cloud6[[#This Row],[Cloud 1 Sorted]],Cloud6[[#This Row],[Cloud 1 Sorted]])</f>
        <v>1</v>
      </c>
      <c r="G13" s="60">
        <f ca="1">IF(Cloud6[[#This Row],[Cloud 1: 1st position]]=1,J$9,G12+J$10)</f>
        <v>10</v>
      </c>
      <c r="I13" s="51" t="s">
        <v>107</v>
      </c>
      <c r="J13" s="50">
        <v>10</v>
      </c>
    </row>
    <row r="14" spans="1:19" x14ac:dyDescent="0.2">
      <c r="D14" s="20">
        <f t="shared" ca="1" si="0"/>
        <v>76</v>
      </c>
      <c r="E14" s="58">
        <f ca="1">SMALL(Cloud6[Cloud 1],COUNTA(Cloud6[[#Headers],[Cloud 1]]:Cloud6[[#This Row],[Cloud 1]])-1)</f>
        <v>6</v>
      </c>
      <c r="F14" s="73">
        <f ca="1">COUNTIF(Cloud6[[#Headers],[Cloud 1 Sorted]]:Cloud6[[#This Row],[Cloud 1 Sorted]],Cloud6[[#This Row],[Cloud 1 Sorted]])</f>
        <v>1</v>
      </c>
      <c r="G14" s="60">
        <f ca="1">IF(Cloud6[[#This Row],[Cloud 1: 1st position]]=1,J$9,G13+J$10)</f>
        <v>10</v>
      </c>
      <c r="I14" s="51" t="s">
        <v>110</v>
      </c>
      <c r="J14" s="50">
        <v>5</v>
      </c>
    </row>
    <row r="15" spans="1:19" x14ac:dyDescent="0.2">
      <c r="D15" s="20">
        <f t="shared" ca="1" si="0"/>
        <v>52</v>
      </c>
      <c r="E15" s="58">
        <f ca="1">SMALL(Cloud6[Cloud 1],COUNTA(Cloud6[[#Headers],[Cloud 1]]:Cloud6[[#This Row],[Cloud 1]])-1)</f>
        <v>6</v>
      </c>
      <c r="F15" s="73">
        <f ca="1">COUNTIF(Cloud6[[#Headers],[Cloud 1 Sorted]]:Cloud6[[#This Row],[Cloud 1 Sorted]],Cloud6[[#This Row],[Cloud 1 Sorted]])</f>
        <v>2</v>
      </c>
      <c r="G15" s="60">
        <f ca="1">IF(Cloud6[[#This Row],[Cloud 1: 1st position]]=1,J$9,G14+J$10)</f>
        <v>8</v>
      </c>
    </row>
    <row r="16" spans="1:19" x14ac:dyDescent="0.2">
      <c r="D16" s="20">
        <f t="shared" ca="1" si="0"/>
        <v>88</v>
      </c>
      <c r="E16" s="58">
        <f ca="1">SMALL(Cloud6[Cloud 1],COUNTA(Cloud6[[#Headers],[Cloud 1]]:Cloud6[[#This Row],[Cloud 1]])-1)</f>
        <v>7</v>
      </c>
      <c r="F16" s="73">
        <f ca="1">COUNTIF(Cloud6[[#Headers],[Cloud 1 Sorted]]:Cloud6[[#This Row],[Cloud 1 Sorted]],Cloud6[[#This Row],[Cloud 1 Sorted]])</f>
        <v>1</v>
      </c>
      <c r="G16" s="60">
        <f ca="1">IF(Cloud6[[#This Row],[Cloud 1: 1st position]]=1,J$9,G15+J$10)</f>
        <v>10</v>
      </c>
    </row>
    <row r="17" spans="4:12" x14ac:dyDescent="0.2">
      <c r="D17" s="20">
        <f t="shared" ca="1" si="0"/>
        <v>66</v>
      </c>
      <c r="E17" s="58">
        <f ca="1">SMALL(Cloud6[Cloud 1],COUNTA(Cloud6[[#Headers],[Cloud 1]]:Cloud6[[#This Row],[Cloud 1]])-1)</f>
        <v>7</v>
      </c>
      <c r="F17" s="73">
        <f ca="1">COUNTIF(Cloud6[[#Headers],[Cloud 1 Sorted]]:Cloud6[[#This Row],[Cloud 1 Sorted]],Cloud6[[#This Row],[Cloud 1 Sorted]])</f>
        <v>2</v>
      </c>
      <c r="G17" s="60">
        <f ca="1">IF(Cloud6[[#This Row],[Cloud 1: 1st position]]=1,J$9,G16+J$10)</f>
        <v>8</v>
      </c>
      <c r="I17" s="75" t="s">
        <v>111</v>
      </c>
      <c r="J17" s="75"/>
      <c r="K17" s="75"/>
    </row>
    <row r="18" spans="4:12" x14ac:dyDescent="0.2">
      <c r="D18" s="20">
        <f t="shared" ca="1" si="0"/>
        <v>70</v>
      </c>
      <c r="E18" s="58">
        <f ca="1">SMALL(Cloud6[Cloud 1],COUNTA(Cloud6[[#Headers],[Cloud 1]]:Cloud6[[#This Row],[Cloud 1]])-1)</f>
        <v>7</v>
      </c>
      <c r="F18" s="73">
        <f ca="1">COUNTIF(Cloud6[[#Headers],[Cloud 1 Sorted]]:Cloud6[[#This Row],[Cloud 1 Sorted]],Cloud6[[#This Row],[Cloud 1 Sorted]])</f>
        <v>3</v>
      </c>
      <c r="G18" s="60">
        <f ca="1">IF(Cloud6[[#This Row],[Cloud 1: 1st position]]=1,J$9,G17+J$10)</f>
        <v>6</v>
      </c>
      <c r="I18" s="51" t="s">
        <v>112</v>
      </c>
      <c r="J18" s="83">
        <f ca="1">MAX(_xlfn.ANCHORARRAY(I23))</f>
        <v>100</v>
      </c>
      <c r="K18" s="20">
        <v>11</v>
      </c>
    </row>
    <row r="19" spans="4:12" x14ac:dyDescent="0.2">
      <c r="D19" s="20">
        <f t="shared" ca="1" si="0"/>
        <v>79</v>
      </c>
      <c r="E19" s="58">
        <f ca="1">SMALL(Cloud6[Cloud 1],COUNTA(Cloud6[[#Headers],[Cloud 1]]:Cloud6[[#This Row],[Cloud 1]])-1)</f>
        <v>8</v>
      </c>
      <c r="F19" s="73">
        <f ca="1">COUNTIF(Cloud6[[#Headers],[Cloud 1 Sorted]]:Cloud6[[#This Row],[Cloud 1 Sorted]],Cloud6[[#This Row],[Cloud 1 Sorted]])</f>
        <v>1</v>
      </c>
      <c r="G19" s="60">
        <f ca="1">IF(Cloud6[[#This Row],[Cloud 1: 1st position]]=1,J$9,G18+J$10)</f>
        <v>10</v>
      </c>
      <c r="I19" s="51" t="s">
        <v>113</v>
      </c>
      <c r="J19" s="83">
        <f ca="1">MIN(_xlfn.ANCHORARRAY(K23))</f>
        <v>0</v>
      </c>
      <c r="K19" s="22">
        <f>K18</f>
        <v>11</v>
      </c>
    </row>
    <row r="20" spans="4:12" x14ac:dyDescent="0.2">
      <c r="D20" s="20">
        <f t="shared" ca="1" si="0"/>
        <v>26</v>
      </c>
      <c r="E20" s="58">
        <f ca="1">SMALL(Cloud6[Cloud 1],COUNTA(Cloud6[[#Headers],[Cloud 1]]:Cloud6[[#This Row],[Cloud 1]])-1)</f>
        <v>9</v>
      </c>
      <c r="F20" s="73">
        <f ca="1">COUNTIF(Cloud6[[#Headers],[Cloud 1 Sorted]]:Cloud6[[#This Row],[Cloud 1 Sorted]],Cloud6[[#This Row],[Cloud 1 Sorted]])</f>
        <v>1</v>
      </c>
      <c r="G20" s="60">
        <f ca="1">IF(Cloud6[[#This Row],[Cloud 1: 1st position]]=1,J$9,G19+J$10)</f>
        <v>10</v>
      </c>
    </row>
    <row r="21" spans="4:12" x14ac:dyDescent="0.2">
      <c r="D21" s="20">
        <f t="shared" ca="1" si="0"/>
        <v>5</v>
      </c>
      <c r="E21" s="58">
        <f ca="1">SMALL(Cloud6[Cloud 1],COUNTA(Cloud6[[#Headers],[Cloud 1]]:Cloud6[[#This Row],[Cloud 1]])-1)</f>
        <v>11</v>
      </c>
      <c r="F21" s="73">
        <f ca="1">COUNTIF(Cloud6[[#Headers],[Cloud 1 Sorted]]:Cloud6[[#This Row],[Cloud 1 Sorted]],Cloud6[[#This Row],[Cloud 1 Sorted]])</f>
        <v>1</v>
      </c>
      <c r="G21" s="60">
        <f ca="1">IF(Cloud6[[#This Row],[Cloud 1: 1st position]]=1,J$9,G20+J$10)</f>
        <v>10</v>
      </c>
    </row>
    <row r="22" spans="4:12" x14ac:dyDescent="0.2">
      <c r="D22" s="20">
        <f t="shared" ca="1" si="0"/>
        <v>32</v>
      </c>
      <c r="E22" s="58">
        <f ca="1">SMALL(Cloud6[Cloud 1],COUNTA(Cloud6[[#Headers],[Cloud 1]]:Cloud6[[#This Row],[Cloud 1]])-1)</f>
        <v>12</v>
      </c>
      <c r="F22" s="73">
        <f ca="1">COUNTIF(Cloud6[[#Headers],[Cloud 1 Sorted]]:Cloud6[[#This Row],[Cloud 1 Sorted]],Cloud6[[#This Row],[Cloud 1 Sorted]])</f>
        <v>1</v>
      </c>
      <c r="G22" s="60">
        <f ca="1">IF(Cloud6[[#This Row],[Cloud 1: 1st position]]=1,J$9,G21+J$10)</f>
        <v>10</v>
      </c>
      <c r="I22" s="75" t="s">
        <v>108</v>
      </c>
      <c r="J22" s="75" t="s">
        <v>109</v>
      </c>
      <c r="K22" s="75" t="s">
        <v>114</v>
      </c>
      <c r="L22" s="75" t="s">
        <v>106</v>
      </c>
    </row>
    <row r="23" spans="4:12" x14ac:dyDescent="0.2">
      <c r="D23" s="20">
        <f t="shared" ca="1" si="0"/>
        <v>52</v>
      </c>
      <c r="E23" s="58">
        <f ca="1">SMALL(Cloud6[Cloud 1],COUNTA(Cloud6[[#Headers],[Cloud 1]]:Cloud6[[#This Row],[Cloud 1]])-1)</f>
        <v>14</v>
      </c>
      <c r="F23" s="73">
        <f ca="1">COUNTIF(Cloud6[[#Headers],[Cloud 1 Sorted]]:Cloud6[[#This Row],[Cloud 1 Sorted]],Cloud6[[#This Row],[Cloud 1 Sorted]])</f>
        <v>1</v>
      </c>
      <c r="G23" s="60">
        <f ca="1">IF(Cloud6[[#This Row],[Cloud 1: 1st position]]=1,J$9,G22+J$10)</f>
        <v>10</v>
      </c>
      <c r="I23" s="76" cm="1">
        <f t="array" aca="1" ref="I23:I33" ca="1">_xlfn.SEQUENCE(J13+1,,MAX(Cloud6[Cloud 1 Sorted]),-MAX(Cloud6[Cloud 1 Sorted])/J13)</f>
        <v>100</v>
      </c>
      <c r="J23" s="76" cm="1">
        <f t="array" aca="1" ref="J23:J33" ca="1">_xlfn.SEQUENCE(J13+1,,MAX(Cloud6[Cloud 1 Sorted])/J13*(J13-1),-MAX(Cloud6[Cloud 1 Sorted])/J13)*IF(_xlfn.ANCHORARRAY(I23)=0,0,1)</f>
        <v>90</v>
      </c>
      <c r="K23" s="76" cm="1">
        <f t="array" aca="1" ref="K23:K33" ca="1">(_xlfn.ANCHORARRAY(I23)+_xlfn.ANCHORARRAY(J23))/2</f>
        <v>95</v>
      </c>
      <c r="L23" s="76" cm="1">
        <f t="array" aca="1" ref="L23:L33" ca="1">IF((_xlfn.ANCHORARRAY(I23)=MAX(_xlfn.ANCHORARRAY(I23)))*1+(_xlfn.ANCHORARRAY(I23)=MIN(_xlfn.ANCHORARRAY(I23)))*1,0,COUNTIFS(Cloud6[Cloud 1 Sorted],"&gt;="&amp;_xlfn.ANCHORARRAY(J23),Cloud6[Cloud 1 Sorted],"&lt;"&amp;_xlfn.ANCHORARRAY(I23))/J14)+K18</f>
        <v>11</v>
      </c>
    </row>
    <row r="24" spans="4:12" x14ac:dyDescent="0.2">
      <c r="D24" s="20">
        <f t="shared" ca="1" si="0"/>
        <v>57</v>
      </c>
      <c r="E24" s="58">
        <f ca="1">SMALL(Cloud6[Cloud 1],COUNTA(Cloud6[[#Headers],[Cloud 1]]:Cloud6[[#This Row],[Cloud 1]])-1)</f>
        <v>15</v>
      </c>
      <c r="F24" s="73">
        <f ca="1">COUNTIF(Cloud6[[#Headers],[Cloud 1 Sorted]]:Cloud6[[#This Row],[Cloud 1 Sorted]],Cloud6[[#This Row],[Cloud 1 Sorted]])</f>
        <v>1</v>
      </c>
      <c r="G24" s="60">
        <f ca="1">IF(Cloud6[[#This Row],[Cloud 1: 1st position]]=1,J$9,G23+J$10)</f>
        <v>10</v>
      </c>
      <c r="I24" s="76">
        <f ca="1"/>
        <v>90</v>
      </c>
      <c r="J24" s="76">
        <f ca="1"/>
        <v>80</v>
      </c>
      <c r="K24" s="76">
        <f ca="1"/>
        <v>85</v>
      </c>
      <c r="L24" s="76">
        <f ca="1"/>
        <v>14.4</v>
      </c>
    </row>
    <row r="25" spans="4:12" x14ac:dyDescent="0.2">
      <c r="D25" s="20">
        <f t="shared" ca="1" si="0"/>
        <v>9</v>
      </c>
      <c r="E25" s="58">
        <f ca="1">SMALL(Cloud6[Cloud 1],COUNTA(Cloud6[[#Headers],[Cloud 1]]:Cloud6[[#This Row],[Cloud 1]])-1)</f>
        <v>15</v>
      </c>
      <c r="F25" s="73">
        <f ca="1">COUNTIF(Cloud6[[#Headers],[Cloud 1 Sorted]]:Cloud6[[#This Row],[Cloud 1 Sorted]],Cloud6[[#This Row],[Cloud 1 Sorted]])</f>
        <v>2</v>
      </c>
      <c r="G25" s="60">
        <f ca="1">IF(Cloud6[[#This Row],[Cloud 1: 1st position]]=1,J$9,G24+J$10)</f>
        <v>8</v>
      </c>
      <c r="I25" s="76">
        <f ca="1"/>
        <v>80</v>
      </c>
      <c r="J25" s="76">
        <f ca="1"/>
        <v>70</v>
      </c>
      <c r="K25" s="76">
        <f ca="1"/>
        <v>75</v>
      </c>
      <c r="L25" s="76">
        <f ca="1"/>
        <v>13.8</v>
      </c>
    </row>
    <row r="26" spans="4:12" x14ac:dyDescent="0.2">
      <c r="D26" s="20">
        <f t="shared" ca="1" si="0"/>
        <v>70</v>
      </c>
      <c r="E26" s="58">
        <f ca="1">SMALL(Cloud6[Cloud 1],COUNTA(Cloud6[[#Headers],[Cloud 1]]:Cloud6[[#This Row],[Cloud 1]])-1)</f>
        <v>17</v>
      </c>
      <c r="F26" s="73">
        <f ca="1">COUNTIF(Cloud6[[#Headers],[Cloud 1 Sorted]]:Cloud6[[#This Row],[Cloud 1 Sorted]],Cloud6[[#This Row],[Cloud 1 Sorted]])</f>
        <v>1</v>
      </c>
      <c r="G26" s="60">
        <f ca="1">IF(Cloud6[[#This Row],[Cloud 1: 1st position]]=1,J$9,G25+J$10)</f>
        <v>10</v>
      </c>
      <c r="I26" s="76">
        <f ca="1"/>
        <v>70</v>
      </c>
      <c r="J26" s="76">
        <f ca="1"/>
        <v>60</v>
      </c>
      <c r="K26" s="76">
        <f ca="1"/>
        <v>65</v>
      </c>
      <c r="L26" s="76">
        <f ca="1"/>
        <v>13.2</v>
      </c>
    </row>
    <row r="27" spans="4:12" x14ac:dyDescent="0.2">
      <c r="D27" s="20">
        <f t="shared" ca="1" si="0"/>
        <v>51</v>
      </c>
      <c r="E27" s="58">
        <f ca="1">SMALL(Cloud6[Cloud 1],COUNTA(Cloud6[[#Headers],[Cloud 1]]:Cloud6[[#This Row],[Cloud 1]])-1)</f>
        <v>17</v>
      </c>
      <c r="F27" s="73">
        <f ca="1">COUNTIF(Cloud6[[#Headers],[Cloud 1 Sorted]]:Cloud6[[#This Row],[Cloud 1 Sorted]],Cloud6[[#This Row],[Cloud 1 Sorted]])</f>
        <v>2</v>
      </c>
      <c r="G27" s="60">
        <f ca="1">IF(Cloud6[[#This Row],[Cloud 1: 1st position]]=1,J$9,G26+J$10)</f>
        <v>8</v>
      </c>
      <c r="I27" s="76">
        <f ca="1"/>
        <v>60</v>
      </c>
      <c r="J27" s="76">
        <f ca="1"/>
        <v>50</v>
      </c>
      <c r="K27" s="76">
        <f ca="1"/>
        <v>55</v>
      </c>
      <c r="L27" s="76">
        <f ca="1"/>
        <v>13</v>
      </c>
    </row>
    <row r="28" spans="4:12" x14ac:dyDescent="0.2">
      <c r="D28" s="20">
        <f t="shared" ca="1" si="0"/>
        <v>100</v>
      </c>
      <c r="E28" s="58">
        <f ca="1">SMALL(Cloud6[Cloud 1],COUNTA(Cloud6[[#Headers],[Cloud 1]]:Cloud6[[#This Row],[Cloud 1]])-1)</f>
        <v>20</v>
      </c>
      <c r="F28" s="73">
        <f ca="1">COUNTIF(Cloud6[[#Headers],[Cloud 1 Sorted]]:Cloud6[[#This Row],[Cloud 1 Sorted]],Cloud6[[#This Row],[Cloud 1 Sorted]])</f>
        <v>1</v>
      </c>
      <c r="G28" s="60">
        <f ca="1">IF(Cloud6[[#This Row],[Cloud 1: 1st position]]=1,J$9,G27+J$10)</f>
        <v>10</v>
      </c>
      <c r="I28" s="76">
        <f ca="1"/>
        <v>50</v>
      </c>
      <c r="J28" s="76">
        <f ca="1"/>
        <v>40</v>
      </c>
      <c r="K28" s="76">
        <f ca="1"/>
        <v>45</v>
      </c>
      <c r="L28" s="76">
        <f ca="1"/>
        <v>14</v>
      </c>
    </row>
    <row r="29" spans="4:12" x14ac:dyDescent="0.2">
      <c r="D29" s="20">
        <f t="shared" ca="1" si="0"/>
        <v>29</v>
      </c>
      <c r="E29" s="58">
        <f ca="1">SMALL(Cloud6[Cloud 1],COUNTA(Cloud6[[#Headers],[Cloud 1]]:Cloud6[[#This Row],[Cloud 1]])-1)</f>
        <v>22</v>
      </c>
      <c r="F29" s="73">
        <f ca="1">COUNTIF(Cloud6[[#Headers],[Cloud 1 Sorted]]:Cloud6[[#This Row],[Cloud 1 Sorted]],Cloud6[[#This Row],[Cloud 1 Sorted]])</f>
        <v>1</v>
      </c>
      <c r="G29" s="60">
        <f ca="1">IF(Cloud6[[#This Row],[Cloud 1: 1st position]]=1,J$9,G28+J$10)</f>
        <v>10</v>
      </c>
      <c r="I29" s="76">
        <f ca="1"/>
        <v>40</v>
      </c>
      <c r="J29" s="76">
        <f ca="1"/>
        <v>30</v>
      </c>
      <c r="K29" s="76">
        <f ca="1"/>
        <v>35</v>
      </c>
      <c r="L29" s="76">
        <f ca="1"/>
        <v>13.8</v>
      </c>
    </row>
    <row r="30" spans="4:12" x14ac:dyDescent="0.2">
      <c r="D30" s="20">
        <f t="shared" ca="1" si="0"/>
        <v>67</v>
      </c>
      <c r="E30" s="58">
        <f ca="1">SMALL(Cloud6[Cloud 1],COUNTA(Cloud6[[#Headers],[Cloud 1]]:Cloud6[[#This Row],[Cloud 1]])-1)</f>
        <v>22</v>
      </c>
      <c r="F30" s="73">
        <f ca="1">COUNTIF(Cloud6[[#Headers],[Cloud 1 Sorted]]:Cloud6[[#This Row],[Cloud 1 Sorted]],Cloud6[[#This Row],[Cloud 1 Sorted]])</f>
        <v>2</v>
      </c>
      <c r="G30" s="60">
        <f ca="1">IF(Cloud6[[#This Row],[Cloud 1: 1st position]]=1,J$9,G29+J$10)</f>
        <v>8</v>
      </c>
      <c r="I30" s="76">
        <f ca="1"/>
        <v>30</v>
      </c>
      <c r="J30" s="76">
        <f ca="1"/>
        <v>20</v>
      </c>
      <c r="K30" s="76">
        <f ca="1"/>
        <v>25</v>
      </c>
      <c r="L30" s="76">
        <f ca="1"/>
        <v>14.4</v>
      </c>
    </row>
    <row r="31" spans="4:12" x14ac:dyDescent="0.2">
      <c r="D31" s="20">
        <f t="shared" ca="1" si="0"/>
        <v>100</v>
      </c>
      <c r="E31" s="58">
        <f ca="1">SMALL(Cloud6[Cloud 1],COUNTA(Cloud6[[#Headers],[Cloud 1]]:Cloud6[[#This Row],[Cloud 1]])-1)</f>
        <v>22</v>
      </c>
      <c r="F31" s="73">
        <f ca="1">COUNTIF(Cloud6[[#Headers],[Cloud 1 Sorted]]:Cloud6[[#This Row],[Cloud 1 Sorted]],Cloud6[[#This Row],[Cloud 1 Sorted]])</f>
        <v>3</v>
      </c>
      <c r="G31" s="60">
        <f ca="1">IF(Cloud6[[#This Row],[Cloud 1: 1st position]]=1,J$9,G30+J$10)</f>
        <v>6</v>
      </c>
      <c r="I31" s="76">
        <f ca="1"/>
        <v>20</v>
      </c>
      <c r="J31" s="76">
        <f ca="1"/>
        <v>10</v>
      </c>
      <c r="K31" s="76">
        <f ca="1"/>
        <v>15</v>
      </c>
      <c r="L31" s="76">
        <f ca="1"/>
        <v>12.4</v>
      </c>
    </row>
    <row r="32" spans="4:12" x14ac:dyDescent="0.2">
      <c r="D32" s="20">
        <f t="shared" ca="1" si="0"/>
        <v>23</v>
      </c>
      <c r="E32" s="58">
        <f ca="1">SMALL(Cloud6[Cloud 1],COUNTA(Cloud6[[#Headers],[Cloud 1]]:Cloud6[[#This Row],[Cloud 1]])-1)</f>
        <v>23</v>
      </c>
      <c r="F32" s="73">
        <f ca="1">COUNTIF(Cloud6[[#Headers],[Cloud 1 Sorted]]:Cloud6[[#This Row],[Cloud 1 Sorted]],Cloud6[[#This Row],[Cloud 1 Sorted]])</f>
        <v>1</v>
      </c>
      <c r="G32" s="60">
        <f ca="1">IF(Cloud6[[#This Row],[Cloud 1: 1st position]]=1,J$9,G31+J$10)</f>
        <v>10</v>
      </c>
      <c r="I32" s="76">
        <f ca="1"/>
        <v>10</v>
      </c>
      <c r="J32" s="76">
        <f ca="1"/>
        <v>0</v>
      </c>
      <c r="K32" s="76">
        <f ca="1"/>
        <v>5</v>
      </c>
      <c r="L32" s="76">
        <f ca="1"/>
        <v>13.2</v>
      </c>
    </row>
    <row r="33" spans="4:12" x14ac:dyDescent="0.2">
      <c r="D33" s="20">
        <f t="shared" ca="1" si="0"/>
        <v>7</v>
      </c>
      <c r="E33" s="58">
        <f ca="1">SMALL(Cloud6[Cloud 1],COUNTA(Cloud6[[#Headers],[Cloud 1]]:Cloud6[[#This Row],[Cloud 1]])-1)</f>
        <v>23</v>
      </c>
      <c r="F33" s="73">
        <f ca="1">COUNTIF(Cloud6[[#Headers],[Cloud 1 Sorted]]:Cloud6[[#This Row],[Cloud 1 Sorted]],Cloud6[[#This Row],[Cloud 1 Sorted]])</f>
        <v>2</v>
      </c>
      <c r="G33" s="60">
        <f ca="1">IF(Cloud6[[#This Row],[Cloud 1: 1st position]]=1,J$9,G32+J$10)</f>
        <v>8</v>
      </c>
      <c r="I33" s="76">
        <f ca="1"/>
        <v>0</v>
      </c>
      <c r="J33" s="76">
        <f ca="1"/>
        <v>0</v>
      </c>
      <c r="K33" s="76">
        <f ca="1"/>
        <v>0</v>
      </c>
      <c r="L33" s="76">
        <f ca="1"/>
        <v>11</v>
      </c>
    </row>
    <row r="34" spans="4:12" x14ac:dyDescent="0.2">
      <c r="D34" s="20">
        <f t="shared" ca="1" si="0"/>
        <v>47</v>
      </c>
      <c r="E34" s="58">
        <f ca="1">SMALL(Cloud6[Cloud 1],COUNTA(Cloud6[[#Headers],[Cloud 1]]:Cloud6[[#This Row],[Cloud 1]])-1)</f>
        <v>23</v>
      </c>
      <c r="F34" s="73">
        <f ca="1">COUNTIF(Cloud6[[#Headers],[Cloud 1 Sorted]]:Cloud6[[#This Row],[Cloud 1 Sorted]],Cloud6[[#This Row],[Cloud 1 Sorted]])</f>
        <v>3</v>
      </c>
      <c r="G34" s="60">
        <f ca="1">IF(Cloud6[[#This Row],[Cloud 1: 1st position]]=1,J$9,G33+J$10)</f>
        <v>6</v>
      </c>
      <c r="I34" s="76"/>
      <c r="J34" s="76"/>
      <c r="K34" s="76"/>
      <c r="L34" s="76"/>
    </row>
    <row r="35" spans="4:12" x14ac:dyDescent="0.2">
      <c r="D35" s="20">
        <f t="shared" ca="1" si="0"/>
        <v>70</v>
      </c>
      <c r="E35" s="58">
        <f ca="1">SMALL(Cloud6[Cloud 1],COUNTA(Cloud6[[#Headers],[Cloud 1]]:Cloud6[[#This Row],[Cloud 1]])-1)</f>
        <v>24</v>
      </c>
      <c r="F35" s="73">
        <f ca="1">COUNTIF(Cloud6[[#Headers],[Cloud 1 Sorted]]:Cloud6[[#This Row],[Cloud 1 Sorted]],Cloud6[[#This Row],[Cloud 1 Sorted]])</f>
        <v>1</v>
      </c>
      <c r="G35" s="60">
        <f ca="1">IF(Cloud6[[#This Row],[Cloud 1: 1st position]]=1,J$9,G34+J$10)</f>
        <v>10</v>
      </c>
      <c r="I35" s="76"/>
      <c r="J35" s="76"/>
      <c r="K35" s="76"/>
      <c r="L35" s="76"/>
    </row>
    <row r="36" spans="4:12" x14ac:dyDescent="0.2">
      <c r="D36" s="20">
        <f t="shared" ca="1" si="0"/>
        <v>76</v>
      </c>
      <c r="E36" s="58">
        <f ca="1">SMALL(Cloud6[Cloud 1],COUNTA(Cloud6[[#Headers],[Cloud 1]]:Cloud6[[#This Row],[Cloud 1]])-1)</f>
        <v>24</v>
      </c>
      <c r="F36" s="73">
        <f ca="1">COUNTIF(Cloud6[[#Headers],[Cloud 1 Sorted]]:Cloud6[[#This Row],[Cloud 1 Sorted]],Cloud6[[#This Row],[Cloud 1 Sorted]])</f>
        <v>2</v>
      </c>
      <c r="G36" s="60">
        <f ca="1">IF(Cloud6[[#This Row],[Cloud 1: 1st position]]=1,J$9,G35+J$10)</f>
        <v>8</v>
      </c>
      <c r="I36" s="76"/>
      <c r="J36" s="76"/>
      <c r="K36" s="76"/>
      <c r="L36" s="76"/>
    </row>
    <row r="37" spans="4:12" x14ac:dyDescent="0.2">
      <c r="D37" s="20">
        <f t="shared" ca="1" si="0"/>
        <v>87</v>
      </c>
      <c r="E37" s="58">
        <f ca="1">SMALL(Cloud6[Cloud 1],COUNTA(Cloud6[[#Headers],[Cloud 1]]:Cloud6[[#This Row],[Cloud 1]])-1)</f>
        <v>25</v>
      </c>
      <c r="F37" s="73">
        <f ca="1">COUNTIF(Cloud6[[#Headers],[Cloud 1 Sorted]]:Cloud6[[#This Row],[Cloud 1 Sorted]],Cloud6[[#This Row],[Cloud 1 Sorted]])</f>
        <v>1</v>
      </c>
      <c r="G37" s="60">
        <f ca="1">IF(Cloud6[[#This Row],[Cloud 1: 1st position]]=1,J$9,G36+J$10)</f>
        <v>10</v>
      </c>
      <c r="I37" s="76"/>
      <c r="J37" s="76"/>
      <c r="K37" s="76"/>
      <c r="L37" s="76"/>
    </row>
    <row r="38" spans="4:12" x14ac:dyDescent="0.2">
      <c r="D38" s="20">
        <f t="shared" ca="1" si="0"/>
        <v>56</v>
      </c>
      <c r="E38" s="58">
        <f ca="1">SMALL(Cloud6[Cloud 1],COUNTA(Cloud6[[#Headers],[Cloud 1]]:Cloud6[[#This Row],[Cloud 1]])-1)</f>
        <v>26</v>
      </c>
      <c r="F38" s="73">
        <f ca="1">COUNTIF(Cloud6[[#Headers],[Cloud 1 Sorted]]:Cloud6[[#This Row],[Cloud 1 Sorted]],Cloud6[[#This Row],[Cloud 1 Sorted]])</f>
        <v>1</v>
      </c>
      <c r="G38" s="60">
        <f ca="1">IF(Cloud6[[#This Row],[Cloud 1: 1st position]]=1,J$9,G37+J$10)</f>
        <v>10</v>
      </c>
      <c r="I38" s="76"/>
      <c r="J38" s="76"/>
      <c r="K38" s="76"/>
      <c r="L38" s="76"/>
    </row>
    <row r="39" spans="4:12" x14ac:dyDescent="0.2">
      <c r="D39" s="20">
        <f t="shared" ca="1" si="0"/>
        <v>33</v>
      </c>
      <c r="E39" s="58">
        <f ca="1">SMALL(Cloud6[Cloud 1],COUNTA(Cloud6[[#Headers],[Cloud 1]]:Cloud6[[#This Row],[Cloud 1]])-1)</f>
        <v>26</v>
      </c>
      <c r="F39" s="73">
        <f ca="1">COUNTIF(Cloud6[[#Headers],[Cloud 1 Sorted]]:Cloud6[[#This Row],[Cloud 1 Sorted]],Cloud6[[#This Row],[Cloud 1 Sorted]])</f>
        <v>2</v>
      </c>
      <c r="G39" s="60">
        <f ca="1">IF(Cloud6[[#This Row],[Cloud 1: 1st position]]=1,J$9,G38+J$10)</f>
        <v>8</v>
      </c>
      <c r="I39" s="76"/>
      <c r="J39" s="76"/>
      <c r="K39" s="76"/>
      <c r="L39" s="76"/>
    </row>
    <row r="40" spans="4:12" x14ac:dyDescent="0.2">
      <c r="D40" s="20">
        <f t="shared" ca="1" si="0"/>
        <v>4</v>
      </c>
      <c r="E40" s="58">
        <f ca="1">SMALL(Cloud6[Cloud 1],COUNTA(Cloud6[[#Headers],[Cloud 1]]:Cloud6[[#This Row],[Cloud 1]])-1)</f>
        <v>27</v>
      </c>
      <c r="F40" s="73">
        <f ca="1">COUNTIF(Cloud6[[#Headers],[Cloud 1 Sorted]]:Cloud6[[#This Row],[Cloud 1 Sorted]],Cloud6[[#This Row],[Cloud 1 Sorted]])</f>
        <v>1</v>
      </c>
      <c r="G40" s="60">
        <f ca="1">IF(Cloud6[[#This Row],[Cloud 1: 1st position]]=1,J$9,G39+J$10)</f>
        <v>10</v>
      </c>
      <c r="I40" s="76"/>
      <c r="J40" s="76"/>
      <c r="K40" s="76"/>
      <c r="L40" s="76"/>
    </row>
    <row r="41" spans="4:12" x14ac:dyDescent="0.2">
      <c r="D41" s="20">
        <f t="shared" ca="1" si="0"/>
        <v>99</v>
      </c>
      <c r="E41" s="58">
        <f ca="1">SMALL(Cloud6[Cloud 1],COUNTA(Cloud6[[#Headers],[Cloud 1]]:Cloud6[[#This Row],[Cloud 1]])-1)</f>
        <v>29</v>
      </c>
      <c r="F41" s="73">
        <f ca="1">COUNTIF(Cloud6[[#Headers],[Cloud 1 Sorted]]:Cloud6[[#This Row],[Cloud 1 Sorted]],Cloud6[[#This Row],[Cloud 1 Sorted]])</f>
        <v>1</v>
      </c>
      <c r="G41" s="60">
        <f ca="1">IF(Cloud6[[#This Row],[Cloud 1: 1st position]]=1,J$9,G40+J$10)</f>
        <v>10</v>
      </c>
      <c r="I41" s="76"/>
      <c r="J41" s="76"/>
      <c r="K41" s="76"/>
      <c r="L41" s="76"/>
    </row>
    <row r="42" spans="4:12" x14ac:dyDescent="0.2">
      <c r="D42" s="20">
        <f t="shared" ca="1" si="0"/>
        <v>86</v>
      </c>
      <c r="E42" s="58">
        <f ca="1">SMALL(Cloud6[Cloud 1],COUNTA(Cloud6[[#Headers],[Cloud 1]]:Cloud6[[#This Row],[Cloud 1]])-1)</f>
        <v>29</v>
      </c>
      <c r="F42" s="73">
        <f ca="1">COUNTIF(Cloud6[[#Headers],[Cloud 1 Sorted]]:Cloud6[[#This Row],[Cloud 1 Sorted]],Cloud6[[#This Row],[Cloud 1 Sorted]])</f>
        <v>2</v>
      </c>
      <c r="G42" s="60">
        <f ca="1">IF(Cloud6[[#This Row],[Cloud 1: 1st position]]=1,J$9,G41+J$10)</f>
        <v>8</v>
      </c>
      <c r="I42" s="76"/>
      <c r="J42" s="76"/>
      <c r="K42" s="76"/>
      <c r="L42" s="76"/>
    </row>
    <row r="43" spans="4:12" x14ac:dyDescent="0.2">
      <c r="D43" s="20">
        <f t="shared" ca="1" si="0"/>
        <v>6</v>
      </c>
      <c r="E43" s="58">
        <f ca="1">SMALL(Cloud6[Cloud 1],COUNTA(Cloud6[[#Headers],[Cloud 1]]:Cloud6[[#This Row],[Cloud 1]])-1)</f>
        <v>29</v>
      </c>
      <c r="F43" s="73">
        <f ca="1">COUNTIF(Cloud6[[#Headers],[Cloud 1 Sorted]]:Cloud6[[#This Row],[Cloud 1 Sorted]],Cloud6[[#This Row],[Cloud 1 Sorted]])</f>
        <v>3</v>
      </c>
      <c r="G43" s="60">
        <f ca="1">IF(Cloud6[[#This Row],[Cloud 1: 1st position]]=1,J$9,G42+J$10)</f>
        <v>6</v>
      </c>
      <c r="I43" s="76"/>
      <c r="J43" s="76"/>
      <c r="K43" s="76"/>
      <c r="L43" s="76"/>
    </row>
    <row r="44" spans="4:12" x14ac:dyDescent="0.2">
      <c r="D44" s="20">
        <f t="shared" ca="1" si="0"/>
        <v>34</v>
      </c>
      <c r="E44" s="58">
        <f ca="1">SMALL(Cloud6[Cloud 1],COUNTA(Cloud6[[#Headers],[Cloud 1]]:Cloud6[[#This Row],[Cloud 1]])-1)</f>
        <v>29</v>
      </c>
      <c r="F44" s="73">
        <f ca="1">COUNTIF(Cloud6[[#Headers],[Cloud 1 Sorted]]:Cloud6[[#This Row],[Cloud 1 Sorted]],Cloud6[[#This Row],[Cloud 1 Sorted]])</f>
        <v>4</v>
      </c>
      <c r="G44" s="60">
        <f ca="1">IF(Cloud6[[#This Row],[Cloud 1: 1st position]]=1,J$9,G43+J$10)</f>
        <v>4</v>
      </c>
      <c r="I44" s="76"/>
      <c r="J44" s="76"/>
      <c r="K44" s="76"/>
      <c r="L44" s="76"/>
    </row>
    <row r="45" spans="4:12" x14ac:dyDescent="0.2">
      <c r="D45" s="20">
        <f t="shared" ca="1" si="0"/>
        <v>14</v>
      </c>
      <c r="E45" s="58">
        <f ca="1">SMALL(Cloud6[Cloud 1],COUNTA(Cloud6[[#Headers],[Cloud 1]]:Cloud6[[#This Row],[Cloud 1]])-1)</f>
        <v>30</v>
      </c>
      <c r="F45" s="73">
        <f ca="1">COUNTIF(Cloud6[[#Headers],[Cloud 1 Sorted]]:Cloud6[[#This Row],[Cloud 1 Sorted]],Cloud6[[#This Row],[Cloud 1 Sorted]])</f>
        <v>1</v>
      </c>
      <c r="G45" s="60">
        <f ca="1">IF(Cloud6[[#This Row],[Cloud 1: 1st position]]=1,J$9,G44+J$10)</f>
        <v>10</v>
      </c>
    </row>
    <row r="46" spans="4:12" x14ac:dyDescent="0.2">
      <c r="D46" s="20">
        <f t="shared" ca="1" si="0"/>
        <v>100</v>
      </c>
      <c r="E46" s="58">
        <f ca="1">SMALL(Cloud6[Cloud 1],COUNTA(Cloud6[[#Headers],[Cloud 1]]:Cloud6[[#This Row],[Cloud 1]])-1)</f>
        <v>32</v>
      </c>
      <c r="F46" s="73">
        <f ca="1">COUNTIF(Cloud6[[#Headers],[Cloud 1 Sorted]]:Cloud6[[#This Row],[Cloud 1 Sorted]],Cloud6[[#This Row],[Cloud 1 Sorted]])</f>
        <v>1</v>
      </c>
      <c r="G46" s="60">
        <f ca="1">IF(Cloud6[[#This Row],[Cloud 1: 1st position]]=1,J$9,G45+J$10)</f>
        <v>10</v>
      </c>
    </row>
    <row r="47" spans="4:12" x14ac:dyDescent="0.2">
      <c r="D47" s="20">
        <f t="shared" ca="1" si="0"/>
        <v>25</v>
      </c>
      <c r="E47" s="58">
        <f ca="1">SMALL(Cloud6[Cloud 1],COUNTA(Cloud6[[#Headers],[Cloud 1]]:Cloud6[[#This Row],[Cloud 1]])-1)</f>
        <v>33</v>
      </c>
      <c r="F47" s="73">
        <f ca="1">COUNTIF(Cloud6[[#Headers],[Cloud 1 Sorted]]:Cloud6[[#This Row],[Cloud 1 Sorted]],Cloud6[[#This Row],[Cloud 1 Sorted]])</f>
        <v>1</v>
      </c>
      <c r="G47" s="60">
        <f ca="1">IF(Cloud6[[#This Row],[Cloud 1: 1st position]]=1,J$9,G46+J$10)</f>
        <v>10</v>
      </c>
    </row>
    <row r="48" spans="4:12" x14ac:dyDescent="0.2">
      <c r="D48" s="20">
        <f t="shared" ca="1" si="0"/>
        <v>34</v>
      </c>
      <c r="E48" s="58">
        <f ca="1">SMALL(Cloud6[Cloud 1],COUNTA(Cloud6[[#Headers],[Cloud 1]]:Cloud6[[#This Row],[Cloud 1]])-1)</f>
        <v>34</v>
      </c>
      <c r="F48" s="73">
        <f ca="1">COUNTIF(Cloud6[[#Headers],[Cloud 1 Sorted]]:Cloud6[[#This Row],[Cloud 1 Sorted]],Cloud6[[#This Row],[Cloud 1 Sorted]])</f>
        <v>1</v>
      </c>
      <c r="G48" s="60">
        <f ca="1">IF(Cloud6[[#This Row],[Cloud 1: 1st position]]=1,J$9,G47+J$10)</f>
        <v>10</v>
      </c>
    </row>
    <row r="49" spans="4:7" x14ac:dyDescent="0.2">
      <c r="D49" s="20">
        <f t="shared" ca="1" si="0"/>
        <v>82</v>
      </c>
      <c r="E49" s="58">
        <f ca="1">SMALL(Cloud6[Cloud 1],COUNTA(Cloud6[[#Headers],[Cloud 1]]:Cloud6[[#This Row],[Cloud 1]])-1)</f>
        <v>34</v>
      </c>
      <c r="F49" s="73">
        <f ca="1">COUNTIF(Cloud6[[#Headers],[Cloud 1 Sorted]]:Cloud6[[#This Row],[Cloud 1 Sorted]],Cloud6[[#This Row],[Cloud 1 Sorted]])</f>
        <v>2</v>
      </c>
      <c r="G49" s="60">
        <f ca="1">IF(Cloud6[[#This Row],[Cloud 1: 1st position]]=1,J$9,G48+J$10)</f>
        <v>8</v>
      </c>
    </row>
    <row r="50" spans="4:7" x14ac:dyDescent="0.2">
      <c r="D50" s="20">
        <f t="shared" ca="1" si="0"/>
        <v>71</v>
      </c>
      <c r="E50" s="58">
        <f ca="1">SMALL(Cloud6[Cloud 1],COUNTA(Cloud6[[#Headers],[Cloud 1]]:Cloud6[[#This Row],[Cloud 1]])-1)</f>
        <v>34</v>
      </c>
      <c r="F50" s="73">
        <f ca="1">COUNTIF(Cloud6[[#Headers],[Cloud 1 Sorted]]:Cloud6[[#This Row],[Cloud 1 Sorted]],Cloud6[[#This Row],[Cloud 1 Sorted]])</f>
        <v>3</v>
      </c>
      <c r="G50" s="60">
        <f ca="1">IF(Cloud6[[#This Row],[Cloud 1: 1st position]]=1,J$9,G49+J$10)</f>
        <v>6</v>
      </c>
    </row>
    <row r="51" spans="4:7" x14ac:dyDescent="0.2">
      <c r="D51" s="20">
        <f t="shared" ca="1" si="0"/>
        <v>29</v>
      </c>
      <c r="E51" s="58">
        <f ca="1">SMALL(Cloud6[Cloud 1],COUNTA(Cloud6[[#Headers],[Cloud 1]]:Cloud6[[#This Row],[Cloud 1]])-1)</f>
        <v>34</v>
      </c>
      <c r="F51" s="73">
        <f ca="1">COUNTIF(Cloud6[[#Headers],[Cloud 1 Sorted]]:Cloud6[[#This Row],[Cloud 1 Sorted]],Cloud6[[#This Row],[Cloud 1 Sorted]])</f>
        <v>4</v>
      </c>
      <c r="G51" s="60">
        <f ca="1">IF(Cloud6[[#This Row],[Cloud 1: 1st position]]=1,J$9,G50+J$10)</f>
        <v>4</v>
      </c>
    </row>
    <row r="52" spans="4:7" x14ac:dyDescent="0.2">
      <c r="D52" s="20">
        <f t="shared" ca="1" si="0"/>
        <v>72</v>
      </c>
      <c r="E52" s="58">
        <f ca="1">SMALL(Cloud6[Cloud 1],COUNTA(Cloud6[[#Headers],[Cloud 1]]:Cloud6[[#This Row],[Cloud 1]])-1)</f>
        <v>36</v>
      </c>
      <c r="F52" s="73">
        <f ca="1">COUNTIF(Cloud6[[#Headers],[Cloud 1 Sorted]]:Cloud6[[#This Row],[Cloud 1 Sorted]],Cloud6[[#This Row],[Cloud 1 Sorted]])</f>
        <v>1</v>
      </c>
      <c r="G52" s="60">
        <f ca="1">IF(Cloud6[[#This Row],[Cloud 1: 1st position]]=1,J$9,G51+J$10)</f>
        <v>10</v>
      </c>
    </row>
    <row r="53" spans="4:7" x14ac:dyDescent="0.2">
      <c r="D53" s="20">
        <f t="shared" ca="1" si="0"/>
        <v>11</v>
      </c>
      <c r="E53" s="58">
        <f ca="1">SMALL(Cloud6[Cloud 1],COUNTA(Cloud6[[#Headers],[Cloud 1]]:Cloud6[[#This Row],[Cloud 1]])-1)</f>
        <v>37</v>
      </c>
      <c r="F53" s="73">
        <f ca="1">COUNTIF(Cloud6[[#Headers],[Cloud 1 Sorted]]:Cloud6[[#This Row],[Cloud 1 Sorted]],Cloud6[[#This Row],[Cloud 1 Sorted]])</f>
        <v>1</v>
      </c>
      <c r="G53" s="60">
        <f ca="1">IF(Cloud6[[#This Row],[Cloud 1: 1st position]]=1,J$9,G52+J$10)</f>
        <v>10</v>
      </c>
    </row>
    <row r="54" spans="4:7" x14ac:dyDescent="0.2">
      <c r="D54" s="20">
        <f t="shared" ca="1" si="0"/>
        <v>41</v>
      </c>
      <c r="E54" s="58">
        <f ca="1">SMALL(Cloud6[Cloud 1],COUNTA(Cloud6[[#Headers],[Cloud 1]]:Cloud6[[#This Row],[Cloud 1]])-1)</f>
        <v>39</v>
      </c>
      <c r="F54" s="73">
        <f ca="1">COUNTIF(Cloud6[[#Headers],[Cloud 1 Sorted]]:Cloud6[[#This Row],[Cloud 1 Sorted]],Cloud6[[#This Row],[Cloud 1 Sorted]])</f>
        <v>1</v>
      </c>
      <c r="G54" s="60">
        <f ca="1">IF(Cloud6[[#This Row],[Cloud 1: 1st position]]=1,J$9,G53+J$10)</f>
        <v>10</v>
      </c>
    </row>
    <row r="55" spans="4:7" x14ac:dyDescent="0.2">
      <c r="D55" s="20">
        <f t="shared" ca="1" si="0"/>
        <v>26</v>
      </c>
      <c r="E55" s="58">
        <f ca="1">SMALL(Cloud6[Cloud 1],COUNTA(Cloud6[[#Headers],[Cloud 1]]:Cloud6[[#This Row],[Cloud 1]])-1)</f>
        <v>39</v>
      </c>
      <c r="F55" s="73">
        <f ca="1">COUNTIF(Cloud6[[#Headers],[Cloud 1 Sorted]]:Cloud6[[#This Row],[Cloud 1 Sorted]],Cloud6[[#This Row],[Cloud 1 Sorted]])</f>
        <v>2</v>
      </c>
      <c r="G55" s="60">
        <f ca="1">IF(Cloud6[[#This Row],[Cloud 1: 1st position]]=1,J$9,G54+J$10)</f>
        <v>8</v>
      </c>
    </row>
    <row r="56" spans="4:7" x14ac:dyDescent="0.2">
      <c r="D56" s="20">
        <f t="shared" ca="1" si="0"/>
        <v>98</v>
      </c>
      <c r="E56" s="58">
        <f ca="1">SMALL(Cloud6[Cloud 1],COUNTA(Cloud6[[#Headers],[Cloud 1]]:Cloud6[[#This Row],[Cloud 1]])-1)</f>
        <v>39</v>
      </c>
      <c r="F56" s="73">
        <f ca="1">COUNTIF(Cloud6[[#Headers],[Cloud 1 Sorted]]:Cloud6[[#This Row],[Cloud 1 Sorted]],Cloud6[[#This Row],[Cloud 1 Sorted]])</f>
        <v>3</v>
      </c>
      <c r="G56" s="60">
        <f ca="1">IF(Cloud6[[#This Row],[Cloud 1: 1st position]]=1,J$9,G55+J$10)</f>
        <v>6</v>
      </c>
    </row>
    <row r="57" spans="4:7" x14ac:dyDescent="0.2">
      <c r="D57" s="20">
        <f t="shared" ca="1" si="0"/>
        <v>100</v>
      </c>
      <c r="E57" s="58">
        <f ca="1">SMALL(Cloud6[Cloud 1],COUNTA(Cloud6[[#Headers],[Cloud 1]]:Cloud6[[#This Row],[Cloud 1]])-1)</f>
        <v>39</v>
      </c>
      <c r="F57" s="73">
        <f ca="1">COUNTIF(Cloud6[[#Headers],[Cloud 1 Sorted]]:Cloud6[[#This Row],[Cloud 1 Sorted]],Cloud6[[#This Row],[Cloud 1 Sorted]])</f>
        <v>4</v>
      </c>
      <c r="G57" s="60">
        <f ca="1">IF(Cloud6[[#This Row],[Cloud 1: 1st position]]=1,J$9,G56+J$10)</f>
        <v>4</v>
      </c>
    </row>
    <row r="58" spans="4:7" x14ac:dyDescent="0.2">
      <c r="D58" s="20">
        <f t="shared" ca="1" si="0"/>
        <v>29</v>
      </c>
      <c r="E58" s="58">
        <f ca="1">SMALL(Cloud6[Cloud 1],COUNTA(Cloud6[[#Headers],[Cloud 1]]:Cloud6[[#This Row],[Cloud 1]])-1)</f>
        <v>39</v>
      </c>
      <c r="F58" s="73">
        <f ca="1">COUNTIF(Cloud6[[#Headers],[Cloud 1 Sorted]]:Cloud6[[#This Row],[Cloud 1 Sorted]],Cloud6[[#This Row],[Cloud 1 Sorted]])</f>
        <v>5</v>
      </c>
      <c r="G58" s="60">
        <f ca="1">IF(Cloud6[[#This Row],[Cloud 1: 1st position]]=1,J$9,G57+J$10)</f>
        <v>2</v>
      </c>
    </row>
    <row r="59" spans="4:7" x14ac:dyDescent="0.2">
      <c r="D59" s="20">
        <f t="shared" ca="1" si="0"/>
        <v>46</v>
      </c>
      <c r="E59" s="58">
        <f ca="1">SMALL(Cloud6[Cloud 1],COUNTA(Cloud6[[#Headers],[Cloud 1]]:Cloud6[[#This Row],[Cloud 1]])-1)</f>
        <v>40</v>
      </c>
      <c r="F59" s="73">
        <f ca="1">COUNTIF(Cloud6[[#Headers],[Cloud 1 Sorted]]:Cloud6[[#This Row],[Cloud 1 Sorted]],Cloud6[[#This Row],[Cloud 1 Sorted]])</f>
        <v>1</v>
      </c>
      <c r="G59" s="60">
        <f ca="1">IF(Cloud6[[#This Row],[Cloud 1: 1st position]]=1,J$9,G58+J$10)</f>
        <v>10</v>
      </c>
    </row>
    <row r="60" spans="4:7" x14ac:dyDescent="0.2">
      <c r="D60" s="20">
        <f t="shared" ca="1" si="0"/>
        <v>83</v>
      </c>
      <c r="E60" s="58">
        <f ca="1">SMALL(Cloud6[Cloud 1],COUNTA(Cloud6[[#Headers],[Cloud 1]]:Cloud6[[#This Row],[Cloud 1]])-1)</f>
        <v>40</v>
      </c>
      <c r="F60" s="73">
        <f ca="1">COUNTIF(Cloud6[[#Headers],[Cloud 1 Sorted]]:Cloud6[[#This Row],[Cloud 1 Sorted]],Cloud6[[#This Row],[Cloud 1 Sorted]])</f>
        <v>2</v>
      </c>
      <c r="G60" s="60">
        <f ca="1">IF(Cloud6[[#This Row],[Cloud 1: 1st position]]=1,J$9,G59+J$10)</f>
        <v>8</v>
      </c>
    </row>
    <row r="61" spans="4:7" x14ac:dyDescent="0.2">
      <c r="D61" s="20">
        <f t="shared" ca="1" si="0"/>
        <v>47</v>
      </c>
      <c r="E61" s="58">
        <f ca="1">SMALL(Cloud6[Cloud 1],COUNTA(Cloud6[[#Headers],[Cloud 1]]:Cloud6[[#This Row],[Cloud 1]])-1)</f>
        <v>41</v>
      </c>
      <c r="F61" s="73">
        <f ca="1">COUNTIF(Cloud6[[#Headers],[Cloud 1 Sorted]]:Cloud6[[#This Row],[Cloud 1 Sorted]],Cloud6[[#This Row],[Cloud 1 Sorted]])</f>
        <v>1</v>
      </c>
      <c r="G61" s="60">
        <f ca="1">IF(Cloud6[[#This Row],[Cloud 1: 1st position]]=1,J$9,G60+J$10)</f>
        <v>10</v>
      </c>
    </row>
    <row r="62" spans="4:7" x14ac:dyDescent="0.2">
      <c r="D62" s="20">
        <f t="shared" ca="1" si="0"/>
        <v>43</v>
      </c>
      <c r="E62" s="58">
        <f ca="1">SMALL(Cloud6[Cloud 1],COUNTA(Cloud6[[#Headers],[Cloud 1]]:Cloud6[[#This Row],[Cloud 1]])-1)</f>
        <v>41</v>
      </c>
      <c r="F62" s="73">
        <f ca="1">COUNTIF(Cloud6[[#Headers],[Cloud 1 Sorted]]:Cloud6[[#This Row],[Cloud 1 Sorted]],Cloud6[[#This Row],[Cloud 1 Sorted]])</f>
        <v>2</v>
      </c>
      <c r="G62" s="60">
        <f ca="1">IF(Cloud6[[#This Row],[Cloud 1: 1st position]]=1,J$9,G61+J$10)</f>
        <v>8</v>
      </c>
    </row>
    <row r="63" spans="4:7" x14ac:dyDescent="0.2">
      <c r="D63" s="20">
        <f t="shared" ca="1" si="0"/>
        <v>88</v>
      </c>
      <c r="E63" s="58">
        <f ca="1">SMALL(Cloud6[Cloud 1],COUNTA(Cloud6[[#Headers],[Cloud 1]]:Cloud6[[#This Row],[Cloud 1]])-1)</f>
        <v>41</v>
      </c>
      <c r="F63" s="73">
        <f ca="1">COUNTIF(Cloud6[[#Headers],[Cloud 1 Sorted]]:Cloud6[[#This Row],[Cloud 1 Sorted]],Cloud6[[#This Row],[Cloud 1 Sorted]])</f>
        <v>3</v>
      </c>
      <c r="G63" s="60">
        <f ca="1">IF(Cloud6[[#This Row],[Cloud 1: 1st position]]=1,J$9,G62+J$10)</f>
        <v>6</v>
      </c>
    </row>
    <row r="64" spans="4:7" x14ac:dyDescent="0.2">
      <c r="D64" s="20">
        <f t="shared" ca="1" si="0"/>
        <v>17</v>
      </c>
      <c r="E64" s="58">
        <f ca="1">SMALL(Cloud6[Cloud 1],COUNTA(Cloud6[[#Headers],[Cloud 1]]:Cloud6[[#This Row],[Cloud 1]])-1)</f>
        <v>41</v>
      </c>
      <c r="F64" s="73">
        <f ca="1">COUNTIF(Cloud6[[#Headers],[Cloud 1 Sorted]]:Cloud6[[#This Row],[Cloud 1 Sorted]],Cloud6[[#This Row],[Cloud 1 Sorted]])</f>
        <v>4</v>
      </c>
      <c r="G64" s="60">
        <f ca="1">IF(Cloud6[[#This Row],[Cloud 1: 1st position]]=1,J$9,G63+J$10)</f>
        <v>4</v>
      </c>
    </row>
    <row r="65" spans="4:7" x14ac:dyDescent="0.2">
      <c r="D65" s="20">
        <f t="shared" ca="1" si="0"/>
        <v>63</v>
      </c>
      <c r="E65" s="58">
        <f ca="1">SMALL(Cloud6[Cloud 1],COUNTA(Cloud6[[#Headers],[Cloud 1]]:Cloud6[[#This Row],[Cloud 1]])-1)</f>
        <v>42</v>
      </c>
      <c r="F65" s="73">
        <f ca="1">COUNTIF(Cloud6[[#Headers],[Cloud 1 Sorted]]:Cloud6[[#This Row],[Cloud 1 Sorted]],Cloud6[[#This Row],[Cloud 1 Sorted]])</f>
        <v>1</v>
      </c>
      <c r="G65" s="60">
        <f ca="1">IF(Cloud6[[#This Row],[Cloud 1: 1st position]]=1,J$9,G64+J$10)</f>
        <v>10</v>
      </c>
    </row>
    <row r="66" spans="4:7" x14ac:dyDescent="0.2">
      <c r="D66" s="20">
        <f t="shared" ca="1" si="0"/>
        <v>15</v>
      </c>
      <c r="E66" s="58">
        <f ca="1">SMALL(Cloud6[Cloud 1],COUNTA(Cloud6[[#Headers],[Cloud 1]]:Cloud6[[#This Row],[Cloud 1]])-1)</f>
        <v>42</v>
      </c>
      <c r="F66" s="73">
        <f ca="1">COUNTIF(Cloud6[[#Headers],[Cloud 1 Sorted]]:Cloud6[[#This Row],[Cloud 1 Sorted]],Cloud6[[#This Row],[Cloud 1 Sorted]])</f>
        <v>2</v>
      </c>
      <c r="G66" s="60">
        <f ca="1">IF(Cloud6[[#This Row],[Cloud 1: 1st position]]=1,J$9,G65+J$10)</f>
        <v>8</v>
      </c>
    </row>
    <row r="67" spans="4:7" x14ac:dyDescent="0.2">
      <c r="D67" s="20">
        <f t="shared" ca="1" si="0"/>
        <v>1</v>
      </c>
      <c r="E67" s="58">
        <f ca="1">SMALL(Cloud6[Cloud 1],COUNTA(Cloud6[[#Headers],[Cloud 1]]:Cloud6[[#This Row],[Cloud 1]])-1)</f>
        <v>42</v>
      </c>
      <c r="F67" s="73">
        <f ca="1">COUNTIF(Cloud6[[#Headers],[Cloud 1 Sorted]]:Cloud6[[#This Row],[Cloud 1 Sorted]],Cloud6[[#This Row],[Cloud 1 Sorted]])</f>
        <v>3</v>
      </c>
      <c r="G67" s="60">
        <f ca="1">IF(Cloud6[[#This Row],[Cloud 1: 1st position]]=1,J$9,G66+J$10)</f>
        <v>6</v>
      </c>
    </row>
    <row r="68" spans="4:7" x14ac:dyDescent="0.2">
      <c r="D68" s="20">
        <f t="shared" ca="1" si="0"/>
        <v>82</v>
      </c>
      <c r="E68" s="58">
        <f ca="1">SMALL(Cloud6[Cloud 1],COUNTA(Cloud6[[#Headers],[Cloud 1]]:Cloud6[[#This Row],[Cloud 1]])-1)</f>
        <v>43</v>
      </c>
      <c r="F68" s="73">
        <f ca="1">COUNTIF(Cloud6[[#Headers],[Cloud 1 Sorted]]:Cloud6[[#This Row],[Cloud 1 Sorted]],Cloud6[[#This Row],[Cloud 1 Sorted]])</f>
        <v>1</v>
      </c>
      <c r="G68" s="60">
        <f ca="1">IF(Cloud6[[#This Row],[Cloud 1: 1st position]]=1,J$9,G67+J$10)</f>
        <v>10</v>
      </c>
    </row>
    <row r="69" spans="4:7" x14ac:dyDescent="0.2">
      <c r="D69" s="20">
        <f t="shared" ca="1" si="0"/>
        <v>76</v>
      </c>
      <c r="E69" s="58">
        <f ca="1">SMALL(Cloud6[Cloud 1],COUNTA(Cloud6[[#Headers],[Cloud 1]]:Cloud6[[#This Row],[Cloud 1]])-1)</f>
        <v>45</v>
      </c>
      <c r="F69" s="74">
        <f ca="1">COUNTIF(Cloud6[[#Headers],[Cloud 1 Sorted]]:Cloud6[[#This Row],[Cloud 1 Sorted]],Cloud6[[#This Row],[Cloud 1 Sorted]])</f>
        <v>1</v>
      </c>
      <c r="G69" s="28">
        <f ca="1">IF(Cloud6[[#This Row],[Cloud 1: 1st position]]=1,J$9,G68+J$10)</f>
        <v>10</v>
      </c>
    </row>
    <row r="70" spans="4:7" x14ac:dyDescent="0.2">
      <c r="D70" s="20">
        <f t="shared" ca="1" si="0"/>
        <v>94</v>
      </c>
      <c r="E70" s="58">
        <f ca="1">SMALL(Cloud6[Cloud 1],COUNTA(Cloud6[[#Headers],[Cloud 1]]:Cloud6[[#This Row],[Cloud 1]])-1)</f>
        <v>46</v>
      </c>
      <c r="F70" s="74">
        <f ca="1">COUNTIF(Cloud6[[#Headers],[Cloud 1 Sorted]]:Cloud6[[#This Row],[Cloud 1 Sorted]],Cloud6[[#This Row],[Cloud 1 Sorted]])</f>
        <v>1</v>
      </c>
      <c r="G70" s="28">
        <f ca="1">IF(Cloud6[[#This Row],[Cloud 1: 1st position]]=1,J$9,G69+J$10)</f>
        <v>10</v>
      </c>
    </row>
    <row r="71" spans="4:7" x14ac:dyDescent="0.2">
      <c r="D71" s="20">
        <f t="shared" ca="1" si="0"/>
        <v>34</v>
      </c>
      <c r="E71" s="58">
        <f ca="1">SMALL(Cloud6[Cloud 1],COUNTA(Cloud6[[#Headers],[Cloud 1]]:Cloud6[[#This Row],[Cloud 1]])-1)</f>
        <v>47</v>
      </c>
      <c r="F71" s="74">
        <f ca="1">COUNTIF(Cloud6[[#Headers],[Cloud 1 Sorted]]:Cloud6[[#This Row],[Cloud 1 Sorted]],Cloud6[[#This Row],[Cloud 1 Sorted]])</f>
        <v>1</v>
      </c>
      <c r="G71" s="28">
        <f ca="1">IF(Cloud6[[#This Row],[Cloud 1: 1st position]]=1,J$9,G70+J$10)</f>
        <v>10</v>
      </c>
    </row>
    <row r="72" spans="4:7" x14ac:dyDescent="0.2">
      <c r="D72" s="20">
        <f t="shared" ca="1" si="0"/>
        <v>39</v>
      </c>
      <c r="E72" s="58">
        <f ca="1">SMALL(Cloud6[Cloud 1],COUNTA(Cloud6[[#Headers],[Cloud 1]]:Cloud6[[#This Row],[Cloud 1]])-1)</f>
        <v>47</v>
      </c>
      <c r="F72" s="74">
        <f ca="1">COUNTIF(Cloud6[[#Headers],[Cloud 1 Sorted]]:Cloud6[[#This Row],[Cloud 1 Sorted]],Cloud6[[#This Row],[Cloud 1 Sorted]])</f>
        <v>2</v>
      </c>
      <c r="G72" s="28">
        <f ca="1">IF(Cloud6[[#This Row],[Cloud 1: 1st position]]=1,J$9,G71+J$10)</f>
        <v>8</v>
      </c>
    </row>
    <row r="73" spans="4:7" x14ac:dyDescent="0.2">
      <c r="D73" s="20">
        <f t="shared" ca="1" si="0"/>
        <v>81</v>
      </c>
      <c r="E73" s="58">
        <f ca="1">SMALL(Cloud6[Cloud 1],COUNTA(Cloud6[[#Headers],[Cloud 1]]:Cloud6[[#This Row],[Cloud 1]])-1)</f>
        <v>48</v>
      </c>
      <c r="F73" s="74">
        <f ca="1">COUNTIF(Cloud6[[#Headers],[Cloud 1 Sorted]]:Cloud6[[#This Row],[Cloud 1 Sorted]],Cloud6[[#This Row],[Cloud 1 Sorted]])</f>
        <v>1</v>
      </c>
      <c r="G73" s="28">
        <f ca="1">IF(Cloud6[[#This Row],[Cloud 1: 1st position]]=1,J$9,G72+J$10)</f>
        <v>10</v>
      </c>
    </row>
    <row r="74" spans="4:7" x14ac:dyDescent="0.2">
      <c r="D74" s="20">
        <f t="shared" ca="1" si="0"/>
        <v>8</v>
      </c>
      <c r="E74" s="58">
        <f ca="1">SMALL(Cloud6[Cloud 1],COUNTA(Cloud6[[#Headers],[Cloud 1]]:Cloud6[[#This Row],[Cloud 1]])-1)</f>
        <v>51</v>
      </c>
      <c r="F74" s="74">
        <f ca="1">COUNTIF(Cloud6[[#Headers],[Cloud 1 Sorted]]:Cloud6[[#This Row],[Cloud 1 Sorted]],Cloud6[[#This Row],[Cloud 1 Sorted]])</f>
        <v>1</v>
      </c>
      <c r="G74" s="28">
        <f ca="1">IF(Cloud6[[#This Row],[Cloud 1: 1st position]]=1,J$9,G73+J$10)</f>
        <v>10</v>
      </c>
    </row>
    <row r="75" spans="4:7" x14ac:dyDescent="0.2">
      <c r="D75" s="20">
        <f t="shared" ref="D75:D137" ca="1" si="1">RANDBETWEEN(1,100)</f>
        <v>68</v>
      </c>
      <c r="E75" s="58">
        <f ca="1">SMALL(Cloud6[Cloud 1],COUNTA(Cloud6[[#Headers],[Cloud 1]]:Cloud6[[#This Row],[Cloud 1]])-1)</f>
        <v>51</v>
      </c>
      <c r="F75" s="74">
        <f ca="1">COUNTIF(Cloud6[[#Headers],[Cloud 1 Sorted]]:Cloud6[[#This Row],[Cloud 1 Sorted]],Cloud6[[#This Row],[Cloud 1 Sorted]])</f>
        <v>2</v>
      </c>
      <c r="G75" s="28">
        <f ca="1">IF(Cloud6[[#This Row],[Cloud 1: 1st position]]=1,J$9,G74+J$10)</f>
        <v>8</v>
      </c>
    </row>
    <row r="76" spans="4:7" x14ac:dyDescent="0.2">
      <c r="D76" s="20">
        <f t="shared" ca="1" si="1"/>
        <v>42</v>
      </c>
      <c r="E76" s="58">
        <f ca="1">SMALL(Cloud6[Cloud 1],COUNTA(Cloud6[[#Headers],[Cloud 1]]:Cloud6[[#This Row],[Cloud 1]])-1)</f>
        <v>52</v>
      </c>
      <c r="F76" s="74">
        <f ca="1">COUNTIF(Cloud6[[#Headers],[Cloud 1 Sorted]]:Cloud6[[#This Row],[Cloud 1 Sorted]],Cloud6[[#This Row],[Cloud 1 Sorted]])</f>
        <v>1</v>
      </c>
      <c r="G76" s="28">
        <f ca="1">IF(Cloud6[[#This Row],[Cloud 1: 1st position]]=1,J$9,G75+J$10)</f>
        <v>10</v>
      </c>
    </row>
    <row r="77" spans="4:7" x14ac:dyDescent="0.2">
      <c r="D77" s="20">
        <f t="shared" ca="1" si="1"/>
        <v>45</v>
      </c>
      <c r="E77" s="58">
        <f ca="1">SMALL(Cloud6[Cloud 1],COUNTA(Cloud6[[#Headers],[Cloud 1]]:Cloud6[[#This Row],[Cloud 1]])-1)</f>
        <v>52</v>
      </c>
      <c r="F77" s="74">
        <f ca="1">COUNTIF(Cloud6[[#Headers],[Cloud 1 Sorted]]:Cloud6[[#This Row],[Cloud 1 Sorted]],Cloud6[[#This Row],[Cloud 1 Sorted]])</f>
        <v>2</v>
      </c>
      <c r="G77" s="28">
        <f ca="1">IF(Cloud6[[#This Row],[Cloud 1: 1st position]]=1,J$9,G76+J$10)</f>
        <v>8</v>
      </c>
    </row>
    <row r="78" spans="4:7" x14ac:dyDescent="0.2">
      <c r="D78" s="20">
        <f t="shared" ca="1" si="1"/>
        <v>22</v>
      </c>
      <c r="E78" s="58">
        <f ca="1">SMALL(Cloud6[Cloud 1],COUNTA(Cloud6[[#Headers],[Cloud 1]]:Cloud6[[#This Row],[Cloud 1]])-1)</f>
        <v>52</v>
      </c>
      <c r="F78" s="74">
        <f ca="1">COUNTIF(Cloud6[[#Headers],[Cloud 1 Sorted]]:Cloud6[[#This Row],[Cloud 1 Sorted]],Cloud6[[#This Row],[Cloud 1 Sorted]])</f>
        <v>3</v>
      </c>
      <c r="G78" s="28">
        <f ca="1">IF(Cloud6[[#This Row],[Cloud 1: 1st position]]=1,J$9,G77+J$10)</f>
        <v>6</v>
      </c>
    </row>
    <row r="79" spans="4:7" x14ac:dyDescent="0.2">
      <c r="D79" s="20">
        <f t="shared" ca="1" si="1"/>
        <v>42</v>
      </c>
      <c r="E79" s="58">
        <f ca="1">SMALL(Cloud6[Cloud 1],COUNTA(Cloud6[[#Headers],[Cloud 1]]:Cloud6[[#This Row],[Cloud 1]])-1)</f>
        <v>53</v>
      </c>
      <c r="F79" s="74">
        <f ca="1">COUNTIF(Cloud6[[#Headers],[Cloud 1 Sorted]]:Cloud6[[#This Row],[Cloud 1 Sorted]],Cloud6[[#This Row],[Cloud 1 Sorted]])</f>
        <v>1</v>
      </c>
      <c r="G79" s="28">
        <f ca="1">IF(Cloud6[[#This Row],[Cloud 1: 1st position]]=1,J$9,G78+J$10)</f>
        <v>10</v>
      </c>
    </row>
    <row r="80" spans="4:7" x14ac:dyDescent="0.2">
      <c r="D80" s="20">
        <f t="shared" ca="1" si="1"/>
        <v>54</v>
      </c>
      <c r="E80" s="58">
        <f ca="1">SMALL(Cloud6[Cloud 1],COUNTA(Cloud6[[#Headers],[Cloud 1]]:Cloud6[[#This Row],[Cloud 1]])-1)</f>
        <v>54</v>
      </c>
      <c r="F80" s="74">
        <f ca="1">COUNTIF(Cloud6[[#Headers],[Cloud 1 Sorted]]:Cloud6[[#This Row],[Cloud 1 Sorted]],Cloud6[[#This Row],[Cloud 1 Sorted]])</f>
        <v>1</v>
      </c>
      <c r="G80" s="28">
        <f ca="1">IF(Cloud6[[#This Row],[Cloud 1: 1st position]]=1,J$9,G79+J$10)</f>
        <v>10</v>
      </c>
    </row>
    <row r="81" spans="4:7" x14ac:dyDescent="0.2">
      <c r="D81" s="20">
        <f t="shared" ca="1" si="1"/>
        <v>2</v>
      </c>
      <c r="E81" s="58">
        <f ca="1">SMALL(Cloud6[Cloud 1],COUNTA(Cloud6[[#Headers],[Cloud 1]]:Cloud6[[#This Row],[Cloud 1]])-1)</f>
        <v>56</v>
      </c>
      <c r="F81" s="74">
        <f ca="1">COUNTIF(Cloud6[[#Headers],[Cloud 1 Sorted]]:Cloud6[[#This Row],[Cloud 1 Sorted]],Cloud6[[#This Row],[Cloud 1 Sorted]])</f>
        <v>1</v>
      </c>
      <c r="G81" s="28">
        <f ca="1">IF(Cloud6[[#This Row],[Cloud 1: 1st position]]=1,J$9,G80+J$10)</f>
        <v>10</v>
      </c>
    </row>
    <row r="82" spans="4:7" x14ac:dyDescent="0.2">
      <c r="D82" s="20">
        <f t="shared" ca="1" si="1"/>
        <v>41</v>
      </c>
      <c r="E82" s="58">
        <f ca="1">SMALL(Cloud6[Cloud 1],COUNTA(Cloud6[[#Headers],[Cloud 1]]:Cloud6[[#This Row],[Cloud 1]])-1)</f>
        <v>57</v>
      </c>
      <c r="F82" s="74">
        <f ca="1">COUNTIF(Cloud6[[#Headers],[Cloud 1 Sorted]]:Cloud6[[#This Row],[Cloud 1 Sorted]],Cloud6[[#This Row],[Cloud 1 Sorted]])</f>
        <v>1</v>
      </c>
      <c r="G82" s="28">
        <f ca="1">IF(Cloud6[[#This Row],[Cloud 1: 1st position]]=1,J$9,G81+J$10)</f>
        <v>10</v>
      </c>
    </row>
    <row r="83" spans="4:7" x14ac:dyDescent="0.2">
      <c r="D83" s="20">
        <f t="shared" ca="1" si="1"/>
        <v>75</v>
      </c>
      <c r="E83" s="58">
        <f ca="1">SMALL(Cloud6[Cloud 1],COUNTA(Cloud6[[#Headers],[Cloud 1]]:Cloud6[[#This Row],[Cloud 1]])-1)</f>
        <v>57</v>
      </c>
      <c r="F83" s="74">
        <f ca="1">COUNTIF(Cloud6[[#Headers],[Cloud 1 Sorted]]:Cloud6[[#This Row],[Cloud 1 Sorted]],Cloud6[[#This Row],[Cloud 1 Sorted]])</f>
        <v>2</v>
      </c>
      <c r="G83" s="28">
        <f ca="1">IF(Cloud6[[#This Row],[Cloud 1: 1st position]]=1,J$9,G82+J$10)</f>
        <v>8</v>
      </c>
    </row>
    <row r="84" spans="4:7" x14ac:dyDescent="0.2">
      <c r="D84" s="20">
        <f t="shared" ca="1" si="1"/>
        <v>22</v>
      </c>
      <c r="E84" s="58">
        <f ca="1">SMALL(Cloud6[Cloud 1],COUNTA(Cloud6[[#Headers],[Cloud 1]]:Cloud6[[#This Row],[Cloud 1]])-1)</f>
        <v>60</v>
      </c>
      <c r="F84" s="74">
        <f ca="1">COUNTIF(Cloud6[[#Headers],[Cloud 1 Sorted]]:Cloud6[[#This Row],[Cloud 1 Sorted]],Cloud6[[#This Row],[Cloud 1 Sorted]])</f>
        <v>1</v>
      </c>
      <c r="G84" s="28">
        <f ca="1">IF(Cloud6[[#This Row],[Cloud 1: 1st position]]=1,J$9,G83+J$10)</f>
        <v>10</v>
      </c>
    </row>
    <row r="85" spans="4:7" x14ac:dyDescent="0.2">
      <c r="D85" s="20">
        <f t="shared" ca="1" si="1"/>
        <v>80</v>
      </c>
      <c r="E85" s="58">
        <f ca="1">SMALL(Cloud6[Cloud 1],COUNTA(Cloud6[[#Headers],[Cloud 1]]:Cloud6[[#This Row],[Cloud 1]])-1)</f>
        <v>61</v>
      </c>
      <c r="F85" s="74">
        <f ca="1">COUNTIF(Cloud6[[#Headers],[Cloud 1 Sorted]]:Cloud6[[#This Row],[Cloud 1 Sorted]],Cloud6[[#This Row],[Cloud 1 Sorted]])</f>
        <v>1</v>
      </c>
      <c r="G85" s="28">
        <f ca="1">IF(Cloud6[[#This Row],[Cloud 1: 1st position]]=1,J$9,G84+J$10)</f>
        <v>10</v>
      </c>
    </row>
    <row r="86" spans="4:7" x14ac:dyDescent="0.2">
      <c r="D86" s="20">
        <f t="shared" ca="1" si="1"/>
        <v>40</v>
      </c>
      <c r="E86" s="58">
        <f ca="1">SMALL(Cloud6[Cloud 1],COUNTA(Cloud6[[#Headers],[Cloud 1]]:Cloud6[[#This Row],[Cloud 1]])-1)</f>
        <v>62</v>
      </c>
      <c r="F86" s="74">
        <f ca="1">COUNTIF(Cloud6[[#Headers],[Cloud 1 Sorted]]:Cloud6[[#This Row],[Cloud 1 Sorted]],Cloud6[[#This Row],[Cloud 1 Sorted]])</f>
        <v>1</v>
      </c>
      <c r="G86" s="28">
        <f ca="1">IF(Cloud6[[#This Row],[Cloud 1: 1st position]]=1,J$9,G85+J$10)</f>
        <v>10</v>
      </c>
    </row>
    <row r="87" spans="4:7" x14ac:dyDescent="0.2">
      <c r="D87" s="20">
        <f t="shared" ca="1" si="1"/>
        <v>61</v>
      </c>
      <c r="E87" s="58">
        <f ca="1">SMALL(Cloud6[Cloud 1],COUNTA(Cloud6[[#Headers],[Cloud 1]]:Cloud6[[#This Row],[Cloud 1]])-1)</f>
        <v>63</v>
      </c>
      <c r="F87" s="74">
        <f ca="1">COUNTIF(Cloud6[[#Headers],[Cloud 1 Sorted]]:Cloud6[[#This Row],[Cloud 1 Sorted]],Cloud6[[#This Row],[Cloud 1 Sorted]])</f>
        <v>1</v>
      </c>
      <c r="G87" s="28">
        <f ca="1">IF(Cloud6[[#This Row],[Cloud 1: 1st position]]=1,J$9,G86+J$10)</f>
        <v>10</v>
      </c>
    </row>
    <row r="88" spans="4:7" x14ac:dyDescent="0.2">
      <c r="D88" s="20">
        <f t="shared" ca="1" si="1"/>
        <v>24</v>
      </c>
      <c r="E88" s="58">
        <f ca="1">SMALL(Cloud6[Cloud 1],COUNTA(Cloud6[[#Headers],[Cloud 1]]:Cloud6[[#This Row],[Cloud 1]])-1)</f>
        <v>63</v>
      </c>
      <c r="F88" s="74">
        <f ca="1">COUNTIF(Cloud6[[#Headers],[Cloud 1 Sorted]]:Cloud6[[#This Row],[Cloud 1 Sorted]],Cloud6[[#This Row],[Cloud 1 Sorted]])</f>
        <v>2</v>
      </c>
      <c r="G88" s="28">
        <f ca="1">IF(Cloud6[[#This Row],[Cloud 1: 1st position]]=1,J$9,G87+J$10)</f>
        <v>8</v>
      </c>
    </row>
    <row r="89" spans="4:7" x14ac:dyDescent="0.2">
      <c r="D89" s="20">
        <f t="shared" ca="1" si="1"/>
        <v>6</v>
      </c>
      <c r="E89" s="58">
        <f ca="1">SMALL(Cloud6[Cloud 1],COUNTA(Cloud6[[#Headers],[Cloud 1]]:Cloud6[[#This Row],[Cloud 1]])-1)</f>
        <v>63</v>
      </c>
      <c r="F89" s="74">
        <f ca="1">COUNTIF(Cloud6[[#Headers],[Cloud 1 Sorted]]:Cloud6[[#This Row],[Cloud 1 Sorted]],Cloud6[[#This Row],[Cloud 1 Sorted]])</f>
        <v>3</v>
      </c>
      <c r="G89" s="28">
        <f ca="1">IF(Cloud6[[#This Row],[Cloud 1: 1st position]]=1,J$9,G88+J$10)</f>
        <v>6</v>
      </c>
    </row>
    <row r="90" spans="4:7" x14ac:dyDescent="0.2">
      <c r="D90" s="20">
        <f t="shared" ca="1" si="1"/>
        <v>41</v>
      </c>
      <c r="E90" s="58">
        <f ca="1">SMALL(Cloud6[Cloud 1],COUNTA(Cloud6[[#Headers],[Cloud 1]]:Cloud6[[#This Row],[Cloud 1]])-1)</f>
        <v>66</v>
      </c>
      <c r="F90" s="74">
        <f ca="1">COUNTIF(Cloud6[[#Headers],[Cloud 1 Sorted]]:Cloud6[[#This Row],[Cloud 1 Sorted]],Cloud6[[#This Row],[Cloud 1 Sorted]])</f>
        <v>1</v>
      </c>
      <c r="G90" s="28">
        <f ca="1">IF(Cloud6[[#This Row],[Cloud 1: 1st position]]=1,J$9,G89+J$10)</f>
        <v>10</v>
      </c>
    </row>
    <row r="91" spans="4:7" x14ac:dyDescent="0.2">
      <c r="D91" s="20">
        <f t="shared" ca="1" si="1"/>
        <v>89</v>
      </c>
      <c r="E91" s="58">
        <f ca="1">SMALL(Cloud6[Cloud 1],COUNTA(Cloud6[[#Headers],[Cloud 1]]:Cloud6[[#This Row],[Cloud 1]])-1)</f>
        <v>67</v>
      </c>
      <c r="F91" s="74">
        <f ca="1">COUNTIF(Cloud6[[#Headers],[Cloud 1 Sorted]]:Cloud6[[#This Row],[Cloud 1 Sorted]],Cloud6[[#This Row],[Cloud 1 Sorted]])</f>
        <v>1</v>
      </c>
      <c r="G91" s="28">
        <f ca="1">IF(Cloud6[[#This Row],[Cloud 1: 1st position]]=1,J$9,G90+J$10)</f>
        <v>10</v>
      </c>
    </row>
    <row r="92" spans="4:7" x14ac:dyDescent="0.2">
      <c r="D92" s="20">
        <f t="shared" ca="1" si="1"/>
        <v>15</v>
      </c>
      <c r="E92" s="58">
        <f ca="1">SMALL(Cloud6[Cloud 1],COUNTA(Cloud6[[#Headers],[Cloud 1]]:Cloud6[[#This Row],[Cloud 1]])-1)</f>
        <v>67</v>
      </c>
      <c r="F92" s="74">
        <f ca="1">COUNTIF(Cloud6[[#Headers],[Cloud 1 Sorted]]:Cloud6[[#This Row],[Cloud 1 Sorted]],Cloud6[[#This Row],[Cloud 1 Sorted]])</f>
        <v>2</v>
      </c>
      <c r="G92" s="28">
        <f ca="1">IF(Cloud6[[#This Row],[Cloud 1: 1st position]]=1,J$9,G91+J$10)</f>
        <v>8</v>
      </c>
    </row>
    <row r="93" spans="4:7" x14ac:dyDescent="0.2">
      <c r="D93" s="20">
        <f t="shared" ca="1" si="1"/>
        <v>41</v>
      </c>
      <c r="E93" s="58">
        <f ca="1">SMALL(Cloud6[Cloud 1],COUNTA(Cloud6[[#Headers],[Cloud 1]]:Cloud6[[#This Row],[Cloud 1]])-1)</f>
        <v>68</v>
      </c>
      <c r="F93" s="74">
        <f ca="1">COUNTIF(Cloud6[[#Headers],[Cloud 1 Sorted]]:Cloud6[[#This Row],[Cloud 1 Sorted]],Cloud6[[#This Row],[Cloud 1 Sorted]])</f>
        <v>1</v>
      </c>
      <c r="G93" s="28">
        <f ca="1">IF(Cloud6[[#This Row],[Cloud 1: 1st position]]=1,J$9,G92+J$10)</f>
        <v>10</v>
      </c>
    </row>
    <row r="94" spans="4:7" x14ac:dyDescent="0.2">
      <c r="D94" s="20">
        <f t="shared" ca="1" si="1"/>
        <v>67</v>
      </c>
      <c r="E94" s="58">
        <f ca="1">SMALL(Cloud6[Cloud 1],COUNTA(Cloud6[[#Headers],[Cloud 1]]:Cloud6[[#This Row],[Cloud 1]])-1)</f>
        <v>68</v>
      </c>
      <c r="F94" s="74">
        <f ca="1">COUNTIF(Cloud6[[#Headers],[Cloud 1 Sorted]]:Cloud6[[#This Row],[Cloud 1 Sorted]],Cloud6[[#This Row],[Cloud 1 Sorted]])</f>
        <v>2</v>
      </c>
      <c r="G94" s="28">
        <f ca="1">IF(Cloud6[[#This Row],[Cloud 1: 1st position]]=1,J$9,G93+J$10)</f>
        <v>8</v>
      </c>
    </row>
    <row r="95" spans="4:7" x14ac:dyDescent="0.2">
      <c r="D95" s="20">
        <f t="shared" ca="1" si="1"/>
        <v>39</v>
      </c>
      <c r="E95" s="58">
        <f ca="1">SMALL(Cloud6[Cloud 1],COUNTA(Cloud6[[#Headers],[Cloud 1]]:Cloud6[[#This Row],[Cloud 1]])-1)</f>
        <v>70</v>
      </c>
      <c r="F95" s="74">
        <f ca="1">COUNTIF(Cloud6[[#Headers],[Cloud 1 Sorted]]:Cloud6[[#This Row],[Cloud 1 Sorted]],Cloud6[[#This Row],[Cloud 1 Sorted]])</f>
        <v>1</v>
      </c>
      <c r="G95" s="28">
        <f ca="1">IF(Cloud6[[#This Row],[Cloud 1: 1st position]]=1,J$9,G94+J$10)</f>
        <v>10</v>
      </c>
    </row>
    <row r="96" spans="4:7" x14ac:dyDescent="0.2">
      <c r="D96" s="20">
        <f t="shared" ca="1" si="1"/>
        <v>30</v>
      </c>
      <c r="E96" s="58">
        <f ca="1">SMALL(Cloud6[Cloud 1],COUNTA(Cloud6[[#Headers],[Cloud 1]]:Cloud6[[#This Row],[Cloud 1]])-1)</f>
        <v>70</v>
      </c>
      <c r="F96" s="74">
        <f ca="1">COUNTIF(Cloud6[[#Headers],[Cloud 1 Sorted]]:Cloud6[[#This Row],[Cloud 1 Sorted]],Cloud6[[#This Row],[Cloud 1 Sorted]])</f>
        <v>2</v>
      </c>
      <c r="G96" s="28">
        <f ca="1">IF(Cloud6[[#This Row],[Cloud 1: 1st position]]=1,J$9,G95+J$10)</f>
        <v>8</v>
      </c>
    </row>
    <row r="97" spans="4:7" x14ac:dyDescent="0.2">
      <c r="D97" s="20">
        <f t="shared" ca="1" si="1"/>
        <v>90</v>
      </c>
      <c r="E97" s="58">
        <f ca="1">SMALL(Cloud6[Cloud 1],COUNTA(Cloud6[[#Headers],[Cloud 1]]:Cloud6[[#This Row],[Cloud 1]])-1)</f>
        <v>70</v>
      </c>
      <c r="F97" s="74">
        <f ca="1">COUNTIF(Cloud6[[#Headers],[Cloud 1 Sorted]]:Cloud6[[#This Row],[Cloud 1 Sorted]],Cloud6[[#This Row],[Cloud 1 Sorted]])</f>
        <v>3</v>
      </c>
      <c r="G97" s="28">
        <f ca="1">IF(Cloud6[[#This Row],[Cloud 1: 1st position]]=1,J$9,G96+J$10)</f>
        <v>6</v>
      </c>
    </row>
    <row r="98" spans="4:7" x14ac:dyDescent="0.2">
      <c r="D98" s="20">
        <f t="shared" ca="1" si="1"/>
        <v>39</v>
      </c>
      <c r="E98" s="58">
        <f ca="1">SMALL(Cloud6[Cloud 1],COUNTA(Cloud6[[#Headers],[Cloud 1]]:Cloud6[[#This Row],[Cloud 1]])-1)</f>
        <v>71</v>
      </c>
      <c r="F98" s="74">
        <f ca="1">COUNTIF(Cloud6[[#Headers],[Cloud 1 Sorted]]:Cloud6[[#This Row],[Cloud 1 Sorted]],Cloud6[[#This Row],[Cloud 1 Sorted]])</f>
        <v>1</v>
      </c>
      <c r="G98" s="28">
        <f ca="1">IF(Cloud6[[#This Row],[Cloud 1: 1st position]]=1,J$9,G97+J$10)</f>
        <v>10</v>
      </c>
    </row>
    <row r="99" spans="4:7" x14ac:dyDescent="0.2">
      <c r="D99" s="20">
        <f t="shared" ca="1" si="1"/>
        <v>87</v>
      </c>
      <c r="E99" s="58">
        <f ca="1">SMALL(Cloud6[Cloud 1],COUNTA(Cloud6[[#Headers],[Cloud 1]]:Cloud6[[#This Row],[Cloud 1]])-1)</f>
        <v>72</v>
      </c>
      <c r="F99" s="74">
        <f ca="1">COUNTIF(Cloud6[[#Headers],[Cloud 1 Sorted]]:Cloud6[[#This Row],[Cloud 1 Sorted]],Cloud6[[#This Row],[Cloud 1 Sorted]])</f>
        <v>1</v>
      </c>
      <c r="G99" s="28">
        <f ca="1">IF(Cloud6[[#This Row],[Cloud 1: 1st position]]=1,J$9,G98+J$10)</f>
        <v>10</v>
      </c>
    </row>
    <row r="100" spans="4:7" x14ac:dyDescent="0.2">
      <c r="D100" s="20">
        <f t="shared" ca="1" si="1"/>
        <v>36</v>
      </c>
      <c r="E100" s="58">
        <f ca="1">SMALL(Cloud6[Cloud 1],COUNTA(Cloud6[[#Headers],[Cloud 1]]:Cloud6[[#This Row],[Cloud 1]])-1)</f>
        <v>72</v>
      </c>
      <c r="F100" s="74">
        <f ca="1">COUNTIF(Cloud6[[#Headers],[Cloud 1 Sorted]]:Cloud6[[#This Row],[Cloud 1 Sorted]],Cloud6[[#This Row],[Cloud 1 Sorted]])</f>
        <v>2</v>
      </c>
      <c r="G100" s="28">
        <f ca="1">IF(Cloud6[[#This Row],[Cloud 1: 1st position]]=1,J$9,G99+J$10)</f>
        <v>8</v>
      </c>
    </row>
    <row r="101" spans="4:7" x14ac:dyDescent="0.2">
      <c r="D101" s="20">
        <f t="shared" ca="1" si="1"/>
        <v>90</v>
      </c>
      <c r="E101" s="58">
        <f ca="1">SMALL(Cloud6[Cloud 1],COUNTA(Cloud6[[#Headers],[Cloud 1]]:Cloud6[[#This Row],[Cloud 1]])-1)</f>
        <v>72</v>
      </c>
      <c r="F101" s="74">
        <f ca="1">COUNTIF(Cloud6[[#Headers],[Cloud 1 Sorted]]:Cloud6[[#This Row],[Cloud 1 Sorted]],Cloud6[[#This Row],[Cloud 1 Sorted]])</f>
        <v>3</v>
      </c>
      <c r="G101" s="28">
        <f ca="1">IF(Cloud6[[#This Row],[Cloud 1: 1st position]]=1,J$9,G100+J$10)</f>
        <v>6</v>
      </c>
    </row>
    <row r="102" spans="4:7" x14ac:dyDescent="0.2">
      <c r="D102" s="20">
        <f t="shared" ca="1" si="1"/>
        <v>84</v>
      </c>
      <c r="E102" s="58">
        <f ca="1">SMALL(Cloud6[Cloud 1],COUNTA(Cloud6[[#Headers],[Cloud 1]]:Cloud6[[#This Row],[Cloud 1]])-1)</f>
        <v>75</v>
      </c>
      <c r="F102" s="74">
        <f ca="1">COUNTIF(Cloud6[[#Headers],[Cloud 1 Sorted]]:Cloud6[[#This Row],[Cloud 1 Sorted]],Cloud6[[#This Row],[Cloud 1 Sorted]])</f>
        <v>1</v>
      </c>
      <c r="G102" s="28">
        <f ca="1">IF(Cloud6[[#This Row],[Cloud 1: 1st position]]=1,J$9,G101+J$10)</f>
        <v>10</v>
      </c>
    </row>
    <row r="103" spans="4:7" x14ac:dyDescent="0.2">
      <c r="D103" s="20">
        <f t="shared" ca="1" si="1"/>
        <v>23</v>
      </c>
      <c r="E103" s="58">
        <f ca="1">SMALL(Cloud6[Cloud 1],COUNTA(Cloud6[[#Headers],[Cloud 1]]:Cloud6[[#This Row],[Cloud 1]])-1)</f>
        <v>76</v>
      </c>
      <c r="F103" s="74">
        <f ca="1">COUNTIF(Cloud6[[#Headers],[Cloud 1 Sorted]]:Cloud6[[#This Row],[Cloud 1 Sorted]],Cloud6[[#This Row],[Cloud 1 Sorted]])</f>
        <v>1</v>
      </c>
      <c r="G103" s="28">
        <f ca="1">IF(Cloud6[[#This Row],[Cloud 1: 1st position]]=1,J$9,G102+J$10)</f>
        <v>10</v>
      </c>
    </row>
    <row r="104" spans="4:7" x14ac:dyDescent="0.2">
      <c r="D104" s="20">
        <f t="shared" ca="1" si="1"/>
        <v>24</v>
      </c>
      <c r="E104" s="58">
        <f ca="1">SMALL(Cloud6[Cloud 1],COUNTA(Cloud6[[#Headers],[Cloud 1]]:Cloud6[[#This Row],[Cloud 1]])-1)</f>
        <v>76</v>
      </c>
      <c r="F104" s="74">
        <f ca="1">COUNTIF(Cloud6[[#Headers],[Cloud 1 Sorted]]:Cloud6[[#This Row],[Cloud 1 Sorted]],Cloud6[[#This Row],[Cloud 1 Sorted]])</f>
        <v>2</v>
      </c>
      <c r="G104" s="28">
        <f ca="1">IF(Cloud6[[#This Row],[Cloud 1: 1st position]]=1,J$9,G103+J$10)</f>
        <v>8</v>
      </c>
    </row>
    <row r="105" spans="4:7" x14ac:dyDescent="0.2">
      <c r="D105" s="20">
        <f t="shared" ca="1" si="1"/>
        <v>37</v>
      </c>
      <c r="E105" s="58">
        <f ca="1">SMALL(Cloud6[Cloud 1],COUNTA(Cloud6[[#Headers],[Cloud 1]]:Cloud6[[#This Row],[Cloud 1]])-1)</f>
        <v>76</v>
      </c>
      <c r="F105" s="74">
        <f ca="1">COUNTIF(Cloud6[[#Headers],[Cloud 1 Sorted]]:Cloud6[[#This Row],[Cloud 1 Sorted]],Cloud6[[#This Row],[Cloud 1 Sorted]])</f>
        <v>3</v>
      </c>
      <c r="G105" s="28">
        <f ca="1">IF(Cloud6[[#This Row],[Cloud 1: 1st position]]=1,J$9,G104+J$10)</f>
        <v>6</v>
      </c>
    </row>
    <row r="106" spans="4:7" x14ac:dyDescent="0.2">
      <c r="D106" s="20">
        <f t="shared" ca="1" si="1"/>
        <v>48</v>
      </c>
      <c r="E106" s="58">
        <f ca="1">SMALL(Cloud6[Cloud 1],COUNTA(Cloud6[[#Headers],[Cloud 1]]:Cloud6[[#This Row],[Cloud 1]])-1)</f>
        <v>77</v>
      </c>
      <c r="F106" s="74">
        <f ca="1">COUNTIF(Cloud6[[#Headers],[Cloud 1 Sorted]]:Cloud6[[#This Row],[Cloud 1 Sorted]],Cloud6[[#This Row],[Cloud 1 Sorted]])</f>
        <v>1</v>
      </c>
      <c r="G106" s="28">
        <f ca="1">IF(Cloud6[[#This Row],[Cloud 1: 1st position]]=1,J$9,G105+J$10)</f>
        <v>10</v>
      </c>
    </row>
    <row r="107" spans="4:7" x14ac:dyDescent="0.2">
      <c r="D107" s="20">
        <f t="shared" ca="1" si="1"/>
        <v>63</v>
      </c>
      <c r="E107" s="58">
        <f ca="1">SMALL(Cloud6[Cloud 1],COUNTA(Cloud6[[#Headers],[Cloud 1]]:Cloud6[[#This Row],[Cloud 1]])-1)</f>
        <v>77</v>
      </c>
      <c r="F107" s="74">
        <f ca="1">COUNTIF(Cloud6[[#Headers],[Cloud 1 Sorted]]:Cloud6[[#This Row],[Cloud 1 Sorted]],Cloud6[[#This Row],[Cloud 1 Sorted]])</f>
        <v>2</v>
      </c>
      <c r="G107" s="28">
        <f ca="1">IF(Cloud6[[#This Row],[Cloud 1: 1st position]]=1,J$9,G106+J$10)</f>
        <v>8</v>
      </c>
    </row>
    <row r="108" spans="4:7" x14ac:dyDescent="0.2">
      <c r="D108" s="20">
        <f t="shared" ca="1" si="1"/>
        <v>89</v>
      </c>
      <c r="E108" s="58">
        <f ca="1">SMALL(Cloud6[Cloud 1],COUNTA(Cloud6[[#Headers],[Cloud 1]]:Cloud6[[#This Row],[Cloud 1]])-1)</f>
        <v>79</v>
      </c>
      <c r="F108" s="74">
        <f ca="1">COUNTIF(Cloud6[[#Headers],[Cloud 1 Sorted]]:Cloud6[[#This Row],[Cloud 1 Sorted]],Cloud6[[#This Row],[Cloud 1 Sorted]])</f>
        <v>1</v>
      </c>
      <c r="G108" s="28">
        <f ca="1">IF(Cloud6[[#This Row],[Cloud 1: 1st position]]=1,J$9,G107+J$10)</f>
        <v>10</v>
      </c>
    </row>
    <row r="109" spans="4:7" x14ac:dyDescent="0.2">
      <c r="D109" s="20">
        <f t="shared" ca="1" si="1"/>
        <v>39</v>
      </c>
      <c r="E109" s="58">
        <f ca="1">SMALL(Cloud6[Cloud 1],COUNTA(Cloud6[[#Headers],[Cloud 1]]:Cloud6[[#This Row],[Cloud 1]])-1)</f>
        <v>80</v>
      </c>
      <c r="F109" s="74">
        <f ca="1">COUNTIF(Cloud6[[#Headers],[Cloud 1 Sorted]]:Cloud6[[#This Row],[Cloud 1 Sorted]],Cloud6[[#This Row],[Cloud 1 Sorted]])</f>
        <v>1</v>
      </c>
      <c r="G109" s="28">
        <f ca="1">IF(Cloud6[[#This Row],[Cloud 1: 1st position]]=1,J$9,G108+J$10)</f>
        <v>10</v>
      </c>
    </row>
    <row r="110" spans="4:7" x14ac:dyDescent="0.2">
      <c r="D110" s="20">
        <f t="shared" ca="1" si="1"/>
        <v>60</v>
      </c>
      <c r="E110" s="58">
        <f ca="1">SMALL(Cloud6[Cloud 1],COUNTA(Cloud6[[#Headers],[Cloud 1]]:Cloud6[[#This Row],[Cloud 1]])-1)</f>
        <v>81</v>
      </c>
      <c r="F110" s="74">
        <f ca="1">COUNTIF(Cloud6[[#Headers],[Cloud 1 Sorted]]:Cloud6[[#This Row],[Cloud 1 Sorted]],Cloud6[[#This Row],[Cloud 1 Sorted]])</f>
        <v>1</v>
      </c>
      <c r="G110" s="28">
        <f ca="1">IF(Cloud6[[#This Row],[Cloud 1: 1st position]]=1,J$9,G109+J$10)</f>
        <v>10</v>
      </c>
    </row>
    <row r="111" spans="4:7" x14ac:dyDescent="0.2">
      <c r="D111" s="20">
        <f t="shared" ca="1" si="1"/>
        <v>77</v>
      </c>
      <c r="E111" s="58">
        <f ca="1">SMALL(Cloud6[Cloud 1],COUNTA(Cloud6[[#Headers],[Cloud 1]]:Cloud6[[#This Row],[Cloud 1]])-1)</f>
        <v>82</v>
      </c>
      <c r="F111" s="74">
        <f ca="1">COUNTIF(Cloud6[[#Headers],[Cloud 1 Sorted]]:Cloud6[[#This Row],[Cloud 1 Sorted]],Cloud6[[#This Row],[Cloud 1 Sorted]])</f>
        <v>1</v>
      </c>
      <c r="G111" s="28">
        <f ca="1">IF(Cloud6[[#This Row],[Cloud 1: 1st position]]=1,J$9,G110+J$10)</f>
        <v>10</v>
      </c>
    </row>
    <row r="112" spans="4:7" x14ac:dyDescent="0.2">
      <c r="D112" s="20">
        <f t="shared" ca="1" si="1"/>
        <v>23</v>
      </c>
      <c r="E112" s="58">
        <f ca="1">SMALL(Cloud6[Cloud 1],COUNTA(Cloud6[[#Headers],[Cloud 1]]:Cloud6[[#This Row],[Cloud 1]])-1)</f>
        <v>82</v>
      </c>
      <c r="F112" s="74">
        <f ca="1">COUNTIF(Cloud6[[#Headers],[Cloud 1 Sorted]]:Cloud6[[#This Row],[Cloud 1 Sorted]],Cloud6[[#This Row],[Cloud 1 Sorted]])</f>
        <v>2</v>
      </c>
      <c r="G112" s="28">
        <f ca="1">IF(Cloud6[[#This Row],[Cloud 1: 1st position]]=1,J$9,G111+J$10)</f>
        <v>8</v>
      </c>
    </row>
    <row r="113" spans="4:7" x14ac:dyDescent="0.2">
      <c r="D113" s="20">
        <f t="shared" ca="1" si="1"/>
        <v>39</v>
      </c>
      <c r="E113" s="58">
        <f ca="1">SMALL(Cloud6[Cloud 1],COUNTA(Cloud6[[#Headers],[Cloud 1]]:Cloud6[[#This Row],[Cloud 1]])-1)</f>
        <v>82</v>
      </c>
      <c r="F113" s="74">
        <f ca="1">COUNTIF(Cloud6[[#Headers],[Cloud 1 Sorted]]:Cloud6[[#This Row],[Cloud 1 Sorted]],Cloud6[[#This Row],[Cloud 1 Sorted]])</f>
        <v>3</v>
      </c>
      <c r="G113" s="28">
        <f ca="1">IF(Cloud6[[#This Row],[Cloud 1: 1st position]]=1,J$9,G112+J$10)</f>
        <v>6</v>
      </c>
    </row>
    <row r="114" spans="4:7" x14ac:dyDescent="0.2">
      <c r="D114" s="20">
        <f t="shared" ca="1" si="1"/>
        <v>91</v>
      </c>
      <c r="E114" s="58">
        <f ca="1">SMALL(Cloud6[Cloud 1],COUNTA(Cloud6[[#Headers],[Cloud 1]]:Cloud6[[#This Row],[Cloud 1]])-1)</f>
        <v>83</v>
      </c>
      <c r="F114" s="74">
        <f ca="1">COUNTIF(Cloud6[[#Headers],[Cloud 1 Sorted]]:Cloud6[[#This Row],[Cloud 1 Sorted]],Cloud6[[#This Row],[Cloud 1 Sorted]])</f>
        <v>1</v>
      </c>
      <c r="G114" s="28">
        <f ca="1">IF(Cloud6[[#This Row],[Cloud 1: 1st position]]=1,J$9,G113+J$10)</f>
        <v>10</v>
      </c>
    </row>
    <row r="115" spans="4:7" x14ac:dyDescent="0.2">
      <c r="D115" s="20">
        <f t="shared" ca="1" si="1"/>
        <v>63</v>
      </c>
      <c r="E115" s="58">
        <f ca="1">SMALL(Cloud6[Cloud 1],COUNTA(Cloud6[[#Headers],[Cloud 1]]:Cloud6[[#This Row],[Cloud 1]])-1)</f>
        <v>84</v>
      </c>
      <c r="F115" s="74">
        <f ca="1">COUNTIF(Cloud6[[#Headers],[Cloud 1 Sorted]]:Cloud6[[#This Row],[Cloud 1 Sorted]],Cloud6[[#This Row],[Cloud 1 Sorted]])</f>
        <v>1</v>
      </c>
      <c r="G115" s="28">
        <f ca="1">IF(Cloud6[[#This Row],[Cloud 1: 1st position]]=1,J$9,G114+J$10)</f>
        <v>10</v>
      </c>
    </row>
    <row r="116" spans="4:7" x14ac:dyDescent="0.2">
      <c r="D116" s="20">
        <f t="shared" ca="1" si="1"/>
        <v>51</v>
      </c>
      <c r="E116" s="58">
        <f ca="1">SMALL(Cloud6[Cloud 1],COUNTA(Cloud6[[#Headers],[Cloud 1]]:Cloud6[[#This Row],[Cloud 1]])-1)</f>
        <v>85</v>
      </c>
      <c r="F116" s="74">
        <f ca="1">COUNTIF(Cloud6[[#Headers],[Cloud 1 Sorted]]:Cloud6[[#This Row],[Cloud 1 Sorted]],Cloud6[[#This Row],[Cloud 1 Sorted]])</f>
        <v>1</v>
      </c>
      <c r="G116" s="28">
        <f ca="1">IF(Cloud6[[#This Row],[Cloud 1: 1st position]]=1,J$9,G115+J$10)</f>
        <v>10</v>
      </c>
    </row>
    <row r="117" spans="4:7" x14ac:dyDescent="0.2">
      <c r="D117" s="20">
        <f t="shared" ca="1" si="1"/>
        <v>27</v>
      </c>
      <c r="E117" s="58">
        <f ca="1">SMALL(Cloud6[Cloud 1],COUNTA(Cloud6[[#Headers],[Cloud 1]]:Cloud6[[#This Row],[Cloud 1]])-1)</f>
        <v>85</v>
      </c>
      <c r="F117" s="74">
        <f ca="1">COUNTIF(Cloud6[[#Headers],[Cloud 1 Sorted]]:Cloud6[[#This Row],[Cloud 1 Sorted]],Cloud6[[#This Row],[Cloud 1 Sorted]])</f>
        <v>2</v>
      </c>
      <c r="G117" s="28">
        <f ca="1">IF(Cloud6[[#This Row],[Cloud 1: 1st position]]=1,J$9,G116+J$10)</f>
        <v>8</v>
      </c>
    </row>
    <row r="118" spans="4:7" x14ac:dyDescent="0.2">
      <c r="D118" s="20">
        <f t="shared" ca="1" si="1"/>
        <v>52</v>
      </c>
      <c r="E118" s="58">
        <f ca="1">SMALL(Cloud6[Cloud 1],COUNTA(Cloud6[[#Headers],[Cloud 1]]:Cloud6[[#This Row],[Cloud 1]])-1)</f>
        <v>86</v>
      </c>
      <c r="F118" s="74">
        <f ca="1">COUNTIF(Cloud6[[#Headers],[Cloud 1 Sorted]]:Cloud6[[#This Row],[Cloud 1 Sorted]],Cloud6[[#This Row],[Cloud 1 Sorted]])</f>
        <v>1</v>
      </c>
      <c r="G118" s="28">
        <f ca="1">IF(Cloud6[[#This Row],[Cloud 1: 1st position]]=1,J$9,G117+J$10)</f>
        <v>10</v>
      </c>
    </row>
    <row r="119" spans="4:7" x14ac:dyDescent="0.2">
      <c r="D119" s="20">
        <f t="shared" ca="1" si="1"/>
        <v>42</v>
      </c>
      <c r="E119" s="58">
        <f ca="1">SMALL(Cloud6[Cloud 1],COUNTA(Cloud6[[#Headers],[Cloud 1]]:Cloud6[[#This Row],[Cloud 1]])-1)</f>
        <v>87</v>
      </c>
      <c r="F119" s="74">
        <f ca="1">COUNTIF(Cloud6[[#Headers],[Cloud 1 Sorted]]:Cloud6[[#This Row],[Cloud 1 Sorted]],Cloud6[[#This Row],[Cloud 1 Sorted]])</f>
        <v>1</v>
      </c>
      <c r="G119" s="28">
        <f ca="1">IF(Cloud6[[#This Row],[Cloud 1: 1st position]]=1,J$9,G118+J$10)</f>
        <v>10</v>
      </c>
    </row>
    <row r="120" spans="4:7" x14ac:dyDescent="0.2">
      <c r="D120" s="20">
        <f t="shared" ca="1" si="1"/>
        <v>77</v>
      </c>
      <c r="E120" s="58">
        <f ca="1">SMALL(Cloud6[Cloud 1],COUNTA(Cloud6[[#Headers],[Cloud 1]]:Cloud6[[#This Row],[Cloud 1]])-1)</f>
        <v>87</v>
      </c>
      <c r="F120" s="74">
        <f ca="1">COUNTIF(Cloud6[[#Headers],[Cloud 1 Sorted]]:Cloud6[[#This Row],[Cloud 1 Sorted]],Cloud6[[#This Row],[Cloud 1 Sorted]])</f>
        <v>2</v>
      </c>
      <c r="G120" s="28">
        <f ca="1">IF(Cloud6[[#This Row],[Cloud 1: 1st position]]=1,J$9,G119+J$10)</f>
        <v>8</v>
      </c>
    </row>
    <row r="121" spans="4:7" x14ac:dyDescent="0.2">
      <c r="D121" s="20">
        <f t="shared" ca="1" si="1"/>
        <v>62</v>
      </c>
      <c r="E121" s="58">
        <f ca="1">SMALL(Cloud6[Cloud 1],COUNTA(Cloud6[[#Headers],[Cloud 1]]:Cloud6[[#This Row],[Cloud 1]])-1)</f>
        <v>88</v>
      </c>
      <c r="F121" s="74">
        <f ca="1">COUNTIF(Cloud6[[#Headers],[Cloud 1 Sorted]]:Cloud6[[#This Row],[Cloud 1 Sorted]],Cloud6[[#This Row],[Cloud 1 Sorted]])</f>
        <v>1</v>
      </c>
      <c r="G121" s="28">
        <f ca="1">IF(Cloud6[[#This Row],[Cloud 1: 1st position]]=1,J$9,G120+J$10)</f>
        <v>10</v>
      </c>
    </row>
    <row r="122" spans="4:7" x14ac:dyDescent="0.2">
      <c r="D122" s="20">
        <f t="shared" ca="1" si="1"/>
        <v>17</v>
      </c>
      <c r="E122" s="58">
        <f ca="1">SMALL(Cloud6[Cloud 1],COUNTA(Cloud6[[#Headers],[Cloud 1]]:Cloud6[[#This Row],[Cloud 1]])-1)</f>
        <v>88</v>
      </c>
      <c r="F122" s="74">
        <f ca="1">COUNTIF(Cloud6[[#Headers],[Cloud 1 Sorted]]:Cloud6[[#This Row],[Cloud 1 Sorted]],Cloud6[[#This Row],[Cloud 1 Sorted]])</f>
        <v>2</v>
      </c>
      <c r="G122" s="28">
        <f ca="1">IF(Cloud6[[#This Row],[Cloud 1: 1st position]]=1,J$9,G121+J$10)</f>
        <v>8</v>
      </c>
    </row>
    <row r="123" spans="4:7" x14ac:dyDescent="0.2">
      <c r="D123" s="20">
        <f t="shared" ca="1" si="1"/>
        <v>85</v>
      </c>
      <c r="E123" s="58">
        <f ca="1">SMALL(Cloud6[Cloud 1],COUNTA(Cloud6[[#Headers],[Cloud 1]]:Cloud6[[#This Row],[Cloud 1]])-1)</f>
        <v>89</v>
      </c>
      <c r="F123" s="74">
        <f ca="1">COUNTIF(Cloud6[[#Headers],[Cloud 1 Sorted]]:Cloud6[[#This Row],[Cloud 1 Sorted]],Cloud6[[#This Row],[Cloud 1 Sorted]])</f>
        <v>1</v>
      </c>
      <c r="G123" s="28">
        <f ca="1">IF(Cloud6[[#This Row],[Cloud 1: 1st position]]=1,J$9,G122+J$10)</f>
        <v>10</v>
      </c>
    </row>
    <row r="124" spans="4:7" x14ac:dyDescent="0.2">
      <c r="D124" s="20">
        <f t="shared" ca="1" si="1"/>
        <v>95</v>
      </c>
      <c r="E124" s="58">
        <f ca="1">SMALL(Cloud6[Cloud 1],COUNTA(Cloud6[[#Headers],[Cloud 1]]:Cloud6[[#This Row],[Cloud 1]])-1)</f>
        <v>89</v>
      </c>
      <c r="F124" s="74">
        <f ca="1">COUNTIF(Cloud6[[#Headers],[Cloud 1 Sorted]]:Cloud6[[#This Row],[Cloud 1 Sorted]],Cloud6[[#This Row],[Cloud 1 Sorted]])</f>
        <v>2</v>
      </c>
      <c r="G124" s="28">
        <f ca="1">IF(Cloud6[[#This Row],[Cloud 1: 1st position]]=1,J$9,G123+J$10)</f>
        <v>8</v>
      </c>
    </row>
    <row r="125" spans="4:7" x14ac:dyDescent="0.2">
      <c r="D125" s="20">
        <f t="shared" ca="1" si="1"/>
        <v>82</v>
      </c>
      <c r="E125" s="58">
        <f ca="1">SMALL(Cloud6[Cloud 1],COUNTA(Cloud6[[#Headers],[Cloud 1]]:Cloud6[[#This Row],[Cloud 1]])-1)</f>
        <v>89</v>
      </c>
      <c r="F125" s="74">
        <f ca="1">COUNTIF(Cloud6[[#Headers],[Cloud 1 Sorted]]:Cloud6[[#This Row],[Cloud 1 Sorted]],Cloud6[[#This Row],[Cloud 1 Sorted]])</f>
        <v>3</v>
      </c>
      <c r="G125" s="28">
        <f ca="1">IF(Cloud6[[#This Row],[Cloud 1: 1st position]]=1,J$9,G124+J$10)</f>
        <v>6</v>
      </c>
    </row>
    <row r="126" spans="4:7" x14ac:dyDescent="0.2">
      <c r="D126" s="20">
        <f t="shared" ca="1" si="1"/>
        <v>7</v>
      </c>
      <c r="E126" s="58">
        <f ca="1">SMALL(Cloud6[Cloud 1],COUNTA(Cloud6[[#Headers],[Cloud 1]]:Cloud6[[#This Row],[Cloud 1]])-1)</f>
        <v>90</v>
      </c>
      <c r="F126" s="74">
        <f ca="1">COUNTIF(Cloud6[[#Headers],[Cloud 1 Sorted]]:Cloud6[[#This Row],[Cloud 1 Sorted]],Cloud6[[#This Row],[Cloud 1 Sorted]])</f>
        <v>1</v>
      </c>
      <c r="G126" s="28">
        <f ca="1">IF(Cloud6[[#This Row],[Cloud 1: 1st position]]=1,J$9,G125+J$10)</f>
        <v>10</v>
      </c>
    </row>
    <row r="127" spans="4:7" x14ac:dyDescent="0.2">
      <c r="D127" s="20">
        <f t="shared" ca="1" si="1"/>
        <v>7</v>
      </c>
      <c r="E127" s="58">
        <f ca="1">SMALL(Cloud6[Cloud 1],COUNTA(Cloud6[[#Headers],[Cloud 1]]:Cloud6[[#This Row],[Cloud 1]])-1)</f>
        <v>90</v>
      </c>
      <c r="F127" s="74">
        <f ca="1">COUNTIF(Cloud6[[#Headers],[Cloud 1 Sorted]]:Cloud6[[#This Row],[Cloud 1 Sorted]],Cloud6[[#This Row],[Cloud 1 Sorted]])</f>
        <v>2</v>
      </c>
      <c r="G127" s="28">
        <f ca="1">IF(Cloud6[[#This Row],[Cloud 1: 1st position]]=1,J$9,G126+J$10)</f>
        <v>8</v>
      </c>
    </row>
    <row r="128" spans="4:7" x14ac:dyDescent="0.2">
      <c r="D128" s="20">
        <f t="shared" ca="1" si="1"/>
        <v>57</v>
      </c>
      <c r="E128" s="58">
        <f ca="1">SMALL(Cloud6[Cloud 1],COUNTA(Cloud6[[#Headers],[Cloud 1]]:Cloud6[[#This Row],[Cloud 1]])-1)</f>
        <v>91</v>
      </c>
      <c r="F128" s="74">
        <f ca="1">COUNTIF(Cloud6[[#Headers],[Cloud 1 Sorted]]:Cloud6[[#This Row],[Cloud 1 Sorted]],Cloud6[[#This Row],[Cloud 1 Sorted]])</f>
        <v>1</v>
      </c>
      <c r="G128" s="28">
        <f ca="1">IF(Cloud6[[#This Row],[Cloud 1: 1st position]]=1,J$9,G127+J$10)</f>
        <v>10</v>
      </c>
    </row>
    <row r="129" spans="4:7" x14ac:dyDescent="0.2">
      <c r="D129" s="20">
        <f t="shared" ca="1" si="1"/>
        <v>72</v>
      </c>
      <c r="E129" s="58">
        <f ca="1">SMALL(Cloud6[Cloud 1],COUNTA(Cloud6[[#Headers],[Cloud 1]]:Cloud6[[#This Row],[Cloud 1]])-1)</f>
        <v>94</v>
      </c>
      <c r="F129" s="74">
        <f ca="1">COUNTIF(Cloud6[[#Headers],[Cloud 1 Sorted]]:Cloud6[[#This Row],[Cloud 1 Sorted]],Cloud6[[#This Row],[Cloud 1 Sorted]])</f>
        <v>1</v>
      </c>
      <c r="G129" s="28">
        <f ca="1">IF(Cloud6[[#This Row],[Cloud 1: 1st position]]=1,J$9,G128+J$10)</f>
        <v>10</v>
      </c>
    </row>
    <row r="130" spans="4:7" x14ac:dyDescent="0.2">
      <c r="D130" s="20">
        <f t="shared" ca="1" si="1"/>
        <v>20</v>
      </c>
      <c r="E130" s="58">
        <f ca="1">SMALL(Cloud6[Cloud 1],COUNTA(Cloud6[[#Headers],[Cloud 1]]:Cloud6[[#This Row],[Cloud 1]])-1)</f>
        <v>95</v>
      </c>
      <c r="F130" s="74">
        <f ca="1">COUNTIF(Cloud6[[#Headers],[Cloud 1 Sorted]]:Cloud6[[#This Row],[Cloud 1 Sorted]],Cloud6[[#This Row],[Cloud 1 Sorted]])</f>
        <v>1</v>
      </c>
      <c r="G130" s="28">
        <f ca="1">IF(Cloud6[[#This Row],[Cloud 1: 1st position]]=1,J$9,G129+J$10)</f>
        <v>10</v>
      </c>
    </row>
    <row r="131" spans="4:7" x14ac:dyDescent="0.2">
      <c r="D131" s="20">
        <f t="shared" ca="1" si="1"/>
        <v>89</v>
      </c>
      <c r="E131" s="58">
        <f ca="1">SMALL(Cloud6[Cloud 1],COUNTA(Cloud6[[#Headers],[Cloud 1]]:Cloud6[[#This Row],[Cloud 1]])-1)</f>
        <v>95</v>
      </c>
      <c r="F131" s="74">
        <f ca="1">COUNTIF(Cloud6[[#Headers],[Cloud 1 Sorted]]:Cloud6[[#This Row],[Cloud 1 Sorted]],Cloud6[[#This Row],[Cloud 1 Sorted]])</f>
        <v>2</v>
      </c>
      <c r="G131" s="28">
        <f ca="1">IF(Cloud6[[#This Row],[Cloud 1: 1st position]]=1,J$9,G130+J$10)</f>
        <v>8</v>
      </c>
    </row>
    <row r="132" spans="4:7" x14ac:dyDescent="0.2">
      <c r="D132" s="20">
        <f t="shared" ca="1" si="1"/>
        <v>85</v>
      </c>
      <c r="E132" s="58">
        <f ca="1">SMALL(Cloud6[Cloud 1],COUNTA(Cloud6[[#Headers],[Cloud 1]]:Cloud6[[#This Row],[Cloud 1]])-1)</f>
        <v>98</v>
      </c>
      <c r="F132" s="74">
        <f ca="1">COUNTIF(Cloud6[[#Headers],[Cloud 1 Sorted]]:Cloud6[[#This Row],[Cloud 1 Sorted]],Cloud6[[#This Row],[Cloud 1 Sorted]])</f>
        <v>1</v>
      </c>
      <c r="G132" s="28">
        <f ca="1">IF(Cloud6[[#This Row],[Cloud 1: 1st position]]=1,J$9,G131+J$10)</f>
        <v>10</v>
      </c>
    </row>
    <row r="133" spans="4:7" x14ac:dyDescent="0.2">
      <c r="D133" s="20">
        <f t="shared" ca="1" si="1"/>
        <v>68</v>
      </c>
      <c r="E133" s="58">
        <f ca="1">SMALL(Cloud6[Cloud 1],COUNTA(Cloud6[[#Headers],[Cloud 1]]:Cloud6[[#This Row],[Cloud 1]])-1)</f>
        <v>99</v>
      </c>
      <c r="F133" s="74">
        <f ca="1">COUNTIF(Cloud6[[#Headers],[Cloud 1 Sorted]]:Cloud6[[#This Row],[Cloud 1 Sorted]],Cloud6[[#This Row],[Cloud 1 Sorted]])</f>
        <v>1</v>
      </c>
      <c r="G133" s="28">
        <f ca="1">IF(Cloud6[[#This Row],[Cloud 1: 1st position]]=1,J$9,G132+J$10)</f>
        <v>10</v>
      </c>
    </row>
    <row r="134" spans="4:7" x14ac:dyDescent="0.2">
      <c r="D134" s="20">
        <f t="shared" ca="1" si="1"/>
        <v>40</v>
      </c>
      <c r="E134" s="58">
        <f ca="1">SMALL(Cloud6[Cloud 1],COUNTA(Cloud6[[#Headers],[Cloud 1]]:Cloud6[[#This Row],[Cloud 1]])-1)</f>
        <v>100</v>
      </c>
      <c r="F134" s="74">
        <f ca="1">COUNTIF(Cloud6[[#Headers],[Cloud 1 Sorted]]:Cloud6[[#This Row],[Cloud 1 Sorted]],Cloud6[[#This Row],[Cloud 1 Sorted]])</f>
        <v>1</v>
      </c>
      <c r="G134" s="28">
        <f ca="1">IF(Cloud6[[#This Row],[Cloud 1: 1st position]]=1,J$9,G133+J$10)</f>
        <v>10</v>
      </c>
    </row>
    <row r="135" spans="4:7" x14ac:dyDescent="0.2">
      <c r="D135" s="20">
        <f t="shared" ca="1" si="1"/>
        <v>12</v>
      </c>
      <c r="E135" s="58">
        <f ca="1">SMALL(Cloud6[Cloud 1],COUNTA(Cloud6[[#Headers],[Cloud 1]]:Cloud6[[#This Row],[Cloud 1]])-1)</f>
        <v>100</v>
      </c>
      <c r="F135" s="74">
        <f ca="1">COUNTIF(Cloud6[[#Headers],[Cloud 1 Sorted]]:Cloud6[[#This Row],[Cloud 1 Sorted]],Cloud6[[#This Row],[Cloud 1 Sorted]])</f>
        <v>2</v>
      </c>
      <c r="G135" s="28">
        <f ca="1">IF(Cloud6[[#This Row],[Cloud 1: 1st position]]=1,J$9,G134+J$10)</f>
        <v>8</v>
      </c>
    </row>
    <row r="136" spans="4:7" x14ac:dyDescent="0.2">
      <c r="D136" s="20">
        <f t="shared" ca="1" si="1"/>
        <v>53</v>
      </c>
      <c r="E136" s="58">
        <f ca="1">SMALL(Cloud6[Cloud 1],COUNTA(Cloud6[[#Headers],[Cloud 1]]:Cloud6[[#This Row],[Cloud 1]])-1)</f>
        <v>100</v>
      </c>
      <c r="F136" s="74">
        <f ca="1">COUNTIF(Cloud6[[#Headers],[Cloud 1 Sorted]]:Cloud6[[#This Row],[Cloud 1 Sorted]],Cloud6[[#This Row],[Cloud 1 Sorted]])</f>
        <v>3</v>
      </c>
      <c r="G136" s="28">
        <f ca="1">IF(Cloud6[[#This Row],[Cloud 1: 1st position]]=1,J$9,G135+J$10)</f>
        <v>6</v>
      </c>
    </row>
    <row r="137" spans="4:7" x14ac:dyDescent="0.2">
      <c r="D137" s="20">
        <f t="shared" ca="1" si="1"/>
        <v>72</v>
      </c>
      <c r="E137" s="58">
        <f ca="1">SMALL(Cloud6[Cloud 1],COUNTA(Cloud6[[#Headers],[Cloud 1]]:Cloud6[[#This Row],[Cloud 1]])-1)</f>
        <v>100</v>
      </c>
      <c r="F137" s="74">
        <f ca="1">COUNTIF(Cloud6[[#Headers],[Cloud 1 Sorted]]:Cloud6[[#This Row],[Cloud 1 Sorted]],Cloud6[[#This Row],[Cloud 1 Sorted]])</f>
        <v>4</v>
      </c>
      <c r="G137" s="28">
        <f ca="1">IF(Cloud6[[#This Row],[Cloud 1: 1st position]]=1,J$9,G136+J$10)</f>
        <v>4</v>
      </c>
    </row>
  </sheetData>
  <mergeCells count="1">
    <mergeCell ref="A3:F3"/>
  </mergeCells>
  <conditionalFormatting sqref="G4">
    <cfRule type="cellIs" dxfId="5" priority="1" operator="notEqual">
      <formula>0</formula>
    </cfRule>
  </conditionalFormatting>
  <hyperlinks>
    <hyperlink ref="G4" location="Overall_Error_Check" tooltip="Go to Overall Error Check" display="Overall_Error_Check" xr:uid="{E67335A1-D929-4416-AD7B-D5E8021484FA}"/>
    <hyperlink ref="A3:F3" location="HL_Navigator" tooltip="Go to Navigator (Table of Contents)" display="Navigator" xr:uid="{7A4235C2-1789-45CC-AC1E-79011595F427}"/>
    <hyperlink ref="A3" location="HL_Navigator" display="Navigator" xr:uid="{38790226-3D05-4BC4-A313-C20B81E23EAB}"/>
  </hyperlinks>
  <pageMargins left="0.7" right="0.7" top="0.75" bottom="0.75" header="0.3" footer="0.3"/>
  <pageSetup paperSize="9" scale="59" fitToWidth="0" fitToHeight="0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2C477-3620-44A6-8176-41F9BBB0D63B}">
  <sheetPr codeName="Sheet6"/>
  <dimension ref="A1:AM69"/>
  <sheetViews>
    <sheetView showGridLines="0" topLeftCell="D1" zoomScale="85" zoomScaleNormal="85" zoomScaleSheetLayoutView="70" workbookViewId="0">
      <pane ySplit="4" topLeftCell="A5" activePane="bottomLeft" state="frozen"/>
      <selection activeCell="A3" sqref="A3:E3"/>
      <selection pane="bottomLeft" activeCell="T27" sqref="E27:T28"/>
    </sheetView>
  </sheetViews>
  <sheetFormatPr defaultColWidth="9.140625" defaultRowHeight="12" x14ac:dyDescent="0.2"/>
  <cols>
    <col min="1" max="3" width="3.7109375" customWidth="1"/>
    <col min="4" max="6" width="11.5703125" bestFit="1" customWidth="1"/>
    <col min="7" max="9" width="14" bestFit="1" customWidth="1"/>
    <col min="10" max="12" width="18.85546875" bestFit="1" customWidth="1"/>
    <col min="13" max="15" width="17.5703125" bestFit="1" customWidth="1"/>
    <col min="16" max="16" width="8.7109375" customWidth="1"/>
    <col min="17" max="17" width="17.42578125" bestFit="1" customWidth="1"/>
    <col min="18" max="18" width="19.5703125" bestFit="1" customWidth="1"/>
    <col min="19" max="20" width="20" bestFit="1" customWidth="1"/>
    <col min="21" max="22" width="20.140625" customWidth="1"/>
    <col min="23" max="27" width="8.85546875" customWidth="1"/>
  </cols>
  <sheetData>
    <row r="1" spans="1:39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Horizontal Raincloud - 3 Clouds</v>
      </c>
    </row>
    <row r="2" spans="1:39" ht="18" x14ac:dyDescent="0.25">
      <c r="A2" s="41" t="str">
        <f ca="1">Model_Name</f>
        <v>SP Horizontal RainCloud Chart - Complete.xlsm</v>
      </c>
    </row>
    <row r="3" spans="1:39" x14ac:dyDescent="0.2">
      <c r="A3" s="78" t="s">
        <v>1</v>
      </c>
      <c r="B3" s="78"/>
      <c r="C3" s="78"/>
      <c r="D3" s="78"/>
      <c r="E3" s="78"/>
    </row>
    <row r="4" spans="1:39" ht="14.25" x14ac:dyDescent="0.2">
      <c r="B4" t="s">
        <v>2</v>
      </c>
      <c r="F4" s="1">
        <f>Overall_Error_Check</f>
        <v>0</v>
      </c>
      <c r="G4" s="59"/>
      <c r="H4" s="59"/>
      <c r="I4" s="59"/>
    </row>
    <row r="5" spans="1:39" x14ac:dyDescent="0.2">
      <c r="A5" s="11"/>
    </row>
    <row r="6" spans="1:39" ht="16.5" thickBot="1" x14ac:dyDescent="0.3">
      <c r="B6" s="42">
        <f>MAX($B$5:$B5)+1</f>
        <v>1</v>
      </c>
      <c r="C6" s="2" t="s">
        <v>88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</row>
    <row r="7" spans="1:39" ht="12.75" thickTop="1" x14ac:dyDescent="0.2"/>
    <row r="9" spans="1:39" x14ac:dyDescent="0.2">
      <c r="D9" s="13" t="s">
        <v>72</v>
      </c>
      <c r="E9" s="13" t="s">
        <v>89</v>
      </c>
      <c r="F9" s="13" t="s">
        <v>90</v>
      </c>
      <c r="G9" s="13" t="s">
        <v>99</v>
      </c>
      <c r="H9" s="13" t="s">
        <v>100</v>
      </c>
      <c r="I9" s="13" t="s">
        <v>101</v>
      </c>
      <c r="J9" s="13" t="s">
        <v>81</v>
      </c>
      <c r="K9" s="13" t="s">
        <v>91</v>
      </c>
      <c r="L9" s="13" t="s">
        <v>92</v>
      </c>
      <c r="M9" s="13" t="s">
        <v>82</v>
      </c>
      <c r="N9" s="13" t="s">
        <v>93</v>
      </c>
      <c r="O9" s="13" t="s">
        <v>94</v>
      </c>
      <c r="Q9" s="51" t="s">
        <v>83</v>
      </c>
      <c r="R9" s="50">
        <v>2</v>
      </c>
      <c r="S9" s="50">
        <v>3</v>
      </c>
      <c r="T9" s="50">
        <v>4</v>
      </c>
    </row>
    <row r="10" spans="1:39" x14ac:dyDescent="0.2">
      <c r="D10" s="20">
        <v>12</v>
      </c>
      <c r="E10" s="20">
        <v>181</v>
      </c>
      <c r="F10" s="57">
        <v>204</v>
      </c>
      <c r="G10" s="58" cm="1">
        <f t="array" ref="G10:G69">_xlfn._xlws.SORT(Clouds[Cloud 1])</f>
        <v>1</v>
      </c>
      <c r="H10" s="58" cm="1">
        <f t="array" ref="H10:H69">_xlfn._xlws.SORT(Clouds[Cloud 2])</f>
        <v>102</v>
      </c>
      <c r="I10" s="58" cm="1">
        <f t="array" ref="I10:I69">_xlfn._xlws.SORT(Clouds[Cloud 3])</f>
        <v>204</v>
      </c>
      <c r="J10" s="28">
        <f>COUNTIF(G$10:G10,G10)</f>
        <v>1</v>
      </c>
      <c r="K10" s="28">
        <f>COUNTIF(H$10:H10,H10)</f>
        <v>1</v>
      </c>
      <c r="L10" s="28">
        <f>COUNTIF(I$10:I10,I10)</f>
        <v>1</v>
      </c>
      <c r="M10" s="28">
        <f t="shared" ref="M10:M41" si="0">IF(J10=1,R$9,M9+R$10)</f>
        <v>2</v>
      </c>
      <c r="N10" s="28">
        <f t="shared" ref="N10:N41" si="1">IF(K10=1,S$9,N9+S$10)</f>
        <v>3</v>
      </c>
      <c r="O10" s="28">
        <f t="shared" ref="O10:O41" si="2">IF(L10=1,T$9,O9+T$10)</f>
        <v>4</v>
      </c>
      <c r="Q10" s="51" t="s">
        <v>84</v>
      </c>
      <c r="R10" s="50">
        <v>-0.5</v>
      </c>
      <c r="S10" s="50">
        <v>-0.5</v>
      </c>
      <c r="T10" s="50">
        <v>-0.5</v>
      </c>
    </row>
    <row r="11" spans="1:39" x14ac:dyDescent="0.2">
      <c r="D11" s="20">
        <v>99</v>
      </c>
      <c r="E11" s="20">
        <v>149</v>
      </c>
      <c r="F11" s="57">
        <v>206</v>
      </c>
      <c r="G11" s="58">
        <v>8</v>
      </c>
      <c r="H11" s="58">
        <v>105</v>
      </c>
      <c r="I11" s="58">
        <v>206</v>
      </c>
      <c r="J11" s="28">
        <f>COUNTIF(G$10:G11,G11)</f>
        <v>1</v>
      </c>
      <c r="K11" s="28">
        <f>COUNTIF(H$10:H11,H11)</f>
        <v>1</v>
      </c>
      <c r="L11" s="28">
        <f>COUNTIF(I$10:I11,I11)</f>
        <v>1</v>
      </c>
      <c r="M11" s="28">
        <f t="shared" si="0"/>
        <v>2</v>
      </c>
      <c r="N11" s="28">
        <f t="shared" si="1"/>
        <v>3</v>
      </c>
      <c r="O11" s="28">
        <f t="shared" si="2"/>
        <v>4</v>
      </c>
    </row>
    <row r="12" spans="1:39" x14ac:dyDescent="0.2">
      <c r="D12" s="20">
        <v>52</v>
      </c>
      <c r="E12" s="20">
        <v>164</v>
      </c>
      <c r="F12" s="57">
        <v>206</v>
      </c>
      <c r="G12" s="58">
        <v>8</v>
      </c>
      <c r="H12" s="58">
        <v>105</v>
      </c>
      <c r="I12" s="58">
        <v>206</v>
      </c>
      <c r="J12" s="28">
        <f>COUNTIF(G$10:G12,G12)</f>
        <v>2</v>
      </c>
      <c r="K12" s="28">
        <f>COUNTIF(H$10:H12,H12)</f>
        <v>2</v>
      </c>
      <c r="L12" s="28">
        <f>COUNTIF(I$10:I12,I12)</f>
        <v>2</v>
      </c>
      <c r="M12" s="28">
        <f t="shared" si="0"/>
        <v>1.5</v>
      </c>
      <c r="N12" s="28">
        <f t="shared" si="1"/>
        <v>2.5</v>
      </c>
      <c r="O12" s="28">
        <f t="shared" si="2"/>
        <v>3.5</v>
      </c>
      <c r="Q12" s="54" t="s">
        <v>73</v>
      </c>
      <c r="R12" s="55" t="s">
        <v>85</v>
      </c>
      <c r="S12" s="55" t="s">
        <v>95</v>
      </c>
      <c r="T12" s="56" t="s">
        <v>96</v>
      </c>
    </row>
    <row r="13" spans="1:39" x14ac:dyDescent="0.2">
      <c r="D13" s="20">
        <v>28</v>
      </c>
      <c r="E13" s="20">
        <v>182</v>
      </c>
      <c r="F13" s="57">
        <v>206</v>
      </c>
      <c r="G13" s="58">
        <v>9</v>
      </c>
      <c r="H13" s="58">
        <v>106</v>
      </c>
      <c r="I13" s="58">
        <v>206</v>
      </c>
      <c r="J13" s="28">
        <f>COUNTIF(G$10:G13,G13)</f>
        <v>1</v>
      </c>
      <c r="K13" s="28">
        <f>COUNTIF(H$10:H13,H13)</f>
        <v>1</v>
      </c>
      <c r="L13" s="28">
        <f>COUNTIF(I$10:I13,I13)</f>
        <v>3</v>
      </c>
      <c r="M13" s="28">
        <f t="shared" si="0"/>
        <v>2</v>
      </c>
      <c r="N13" s="28">
        <f t="shared" si="1"/>
        <v>3</v>
      </c>
      <c r="O13" s="28">
        <f t="shared" si="2"/>
        <v>3</v>
      </c>
      <c r="Q13" s="48">
        <v>0</v>
      </c>
      <c r="R13" s="28">
        <f>PERCENTILE(Clouds[Cloud 1],$Q13)</f>
        <v>1</v>
      </c>
      <c r="S13" s="28">
        <f>PERCENTILE(Clouds[Cloud 2],$Q13)</f>
        <v>102</v>
      </c>
      <c r="T13" s="28">
        <f>PERCENTILE(Clouds[Cloud 3],$Q13)</f>
        <v>204</v>
      </c>
    </row>
    <row r="14" spans="1:39" x14ac:dyDescent="0.2">
      <c r="D14" s="20">
        <v>38</v>
      </c>
      <c r="E14" s="20">
        <v>127</v>
      </c>
      <c r="F14" s="57">
        <v>208</v>
      </c>
      <c r="G14" s="58">
        <v>10</v>
      </c>
      <c r="H14" s="58">
        <v>107</v>
      </c>
      <c r="I14" s="58">
        <v>208</v>
      </c>
      <c r="J14" s="28">
        <f>COUNTIF(G$10:G14,G14)</f>
        <v>1</v>
      </c>
      <c r="K14" s="28">
        <f>COUNTIF(H$10:H14,H14)</f>
        <v>1</v>
      </c>
      <c r="L14" s="28">
        <f>COUNTIF(I$10:I14,I14)</f>
        <v>1</v>
      </c>
      <c r="M14" s="28">
        <f t="shared" si="0"/>
        <v>2</v>
      </c>
      <c r="N14" s="28">
        <f t="shared" si="1"/>
        <v>3</v>
      </c>
      <c r="O14" s="28">
        <f t="shared" si="2"/>
        <v>4</v>
      </c>
      <c r="Q14" s="48">
        <v>0.1</v>
      </c>
      <c r="R14" s="28">
        <f>PERCENTILE(Clouds[Cloud 1],$Q14)</f>
        <v>11.9</v>
      </c>
      <c r="S14" s="28">
        <f>PERCENTILE(Clouds[Cloud 2],$Q14)</f>
        <v>112.8</v>
      </c>
      <c r="T14" s="28">
        <f>PERCENTILE(Clouds[Cloud 3],$Q14)</f>
        <v>210.8</v>
      </c>
    </row>
    <row r="15" spans="1:39" x14ac:dyDescent="0.2">
      <c r="D15" s="20">
        <v>50</v>
      </c>
      <c r="E15" s="20">
        <v>118</v>
      </c>
      <c r="F15" s="57">
        <v>209</v>
      </c>
      <c r="G15" s="58">
        <v>11</v>
      </c>
      <c r="H15" s="58">
        <v>111</v>
      </c>
      <c r="I15" s="58">
        <v>209</v>
      </c>
      <c r="J15" s="28">
        <f>COUNTIF(G$10:G15,G15)</f>
        <v>1</v>
      </c>
      <c r="K15" s="28">
        <f>COUNTIF(H$10:H15,H15)</f>
        <v>1</v>
      </c>
      <c r="L15" s="28">
        <f>COUNTIF(I$10:I15,I15)</f>
        <v>1</v>
      </c>
      <c r="M15" s="28">
        <f t="shared" si="0"/>
        <v>2</v>
      </c>
      <c r="N15" s="28">
        <f t="shared" si="1"/>
        <v>3</v>
      </c>
      <c r="O15" s="28">
        <f t="shared" si="2"/>
        <v>4</v>
      </c>
      <c r="Q15" s="48">
        <v>0.25</v>
      </c>
      <c r="R15" s="28">
        <f>PERCENTILE(Clouds[Cloud 1],$Q15)</f>
        <v>20.5</v>
      </c>
      <c r="S15" s="28">
        <f>PERCENTILE(Clouds[Cloud 2],$Q15)</f>
        <v>123.75</v>
      </c>
      <c r="T15" s="28">
        <f>PERCENTILE(Clouds[Cloud 3],$Q15)</f>
        <v>223</v>
      </c>
    </row>
    <row r="16" spans="1:39" x14ac:dyDescent="0.2">
      <c r="D16" s="20">
        <v>67</v>
      </c>
      <c r="E16" s="20">
        <v>147</v>
      </c>
      <c r="F16" s="57">
        <v>211</v>
      </c>
      <c r="G16" s="58">
        <v>12</v>
      </c>
      <c r="H16" s="58">
        <v>113</v>
      </c>
      <c r="I16" s="58">
        <v>211</v>
      </c>
      <c r="J16" s="28">
        <f>COUNTIF(G$10:G16,G16)</f>
        <v>1</v>
      </c>
      <c r="K16" s="28">
        <f>COUNTIF(H$10:H16,H16)</f>
        <v>1</v>
      </c>
      <c r="L16" s="28">
        <f>COUNTIF(I$10:I16,I16)</f>
        <v>1</v>
      </c>
      <c r="M16" s="28">
        <f t="shared" si="0"/>
        <v>2</v>
      </c>
      <c r="N16" s="28">
        <f t="shared" si="1"/>
        <v>3</v>
      </c>
      <c r="O16" s="28">
        <f t="shared" si="2"/>
        <v>4</v>
      </c>
      <c r="Q16" s="48">
        <v>0.5</v>
      </c>
      <c r="R16" s="28">
        <f>PERCENTILE(Clouds[Cloud 1],$Q16)</f>
        <v>43.5</v>
      </c>
      <c r="S16" s="28">
        <f>PERCENTILE(Clouds[Cloud 2],$Q16)</f>
        <v>155</v>
      </c>
      <c r="T16" s="28">
        <f>PERCENTILE(Clouds[Cloud 3],$Q16)</f>
        <v>250</v>
      </c>
    </row>
    <row r="17" spans="4:22" x14ac:dyDescent="0.2">
      <c r="D17" s="20">
        <v>48</v>
      </c>
      <c r="E17" s="20">
        <v>197</v>
      </c>
      <c r="F17" s="57">
        <v>211</v>
      </c>
      <c r="G17" s="58">
        <v>12</v>
      </c>
      <c r="H17" s="58">
        <v>116</v>
      </c>
      <c r="I17" s="58">
        <v>211</v>
      </c>
      <c r="J17" s="28">
        <f>COUNTIF(G$10:G17,G17)</f>
        <v>2</v>
      </c>
      <c r="K17" s="28">
        <f>COUNTIF(H$10:H17,H17)</f>
        <v>1</v>
      </c>
      <c r="L17" s="28">
        <f>COUNTIF(I$10:I17,I17)</f>
        <v>2</v>
      </c>
      <c r="M17" s="28">
        <f t="shared" si="0"/>
        <v>1.5</v>
      </c>
      <c r="N17" s="28">
        <f t="shared" si="1"/>
        <v>3</v>
      </c>
      <c r="O17" s="28">
        <f t="shared" si="2"/>
        <v>3.5</v>
      </c>
      <c r="Q17" s="48">
        <v>0.75</v>
      </c>
      <c r="R17" s="28">
        <f>PERCENTILE(Clouds[Cloud 1],$Q17)</f>
        <v>64.75</v>
      </c>
      <c r="S17" s="28">
        <f>PERCENTILE(Clouds[Cloud 2],$Q17)</f>
        <v>182</v>
      </c>
      <c r="T17" s="28">
        <f>PERCENTILE(Clouds[Cloud 3],$Q17)</f>
        <v>272.5</v>
      </c>
    </row>
    <row r="18" spans="4:22" x14ac:dyDescent="0.2">
      <c r="D18" s="20">
        <v>33</v>
      </c>
      <c r="E18" s="20">
        <v>160</v>
      </c>
      <c r="F18" s="57">
        <v>213</v>
      </c>
      <c r="G18" s="58">
        <v>12</v>
      </c>
      <c r="H18" s="58">
        <v>116</v>
      </c>
      <c r="I18" s="58">
        <v>213</v>
      </c>
      <c r="J18" s="28">
        <f>COUNTIF(G$10:G18,G18)</f>
        <v>3</v>
      </c>
      <c r="K18" s="28">
        <f>COUNTIF(H$10:H18,H18)</f>
        <v>2</v>
      </c>
      <c r="L18" s="28">
        <f>COUNTIF(I$10:I18,I18)</f>
        <v>1</v>
      </c>
      <c r="M18" s="28">
        <f t="shared" si="0"/>
        <v>1</v>
      </c>
      <c r="N18" s="28">
        <f t="shared" si="1"/>
        <v>2.5</v>
      </c>
      <c r="O18" s="28">
        <f t="shared" si="2"/>
        <v>4</v>
      </c>
      <c r="Q18" s="48">
        <v>0.9</v>
      </c>
      <c r="R18" s="28">
        <f>PERCENTILE(Clouds[Cloud 1],$Q18)</f>
        <v>90</v>
      </c>
      <c r="S18" s="28">
        <f>PERCENTILE(Clouds[Cloud 2],$Q18)</f>
        <v>191.1</v>
      </c>
      <c r="T18" s="28">
        <f>PERCENTILE(Clouds[Cloud 3],$Q18)</f>
        <v>290.2</v>
      </c>
    </row>
    <row r="19" spans="4:22" x14ac:dyDescent="0.2">
      <c r="D19" s="20">
        <v>29</v>
      </c>
      <c r="E19" s="20">
        <v>107</v>
      </c>
      <c r="F19" s="57">
        <v>216</v>
      </c>
      <c r="G19" s="58">
        <v>13</v>
      </c>
      <c r="H19" s="58">
        <v>117</v>
      </c>
      <c r="I19" s="58">
        <v>216</v>
      </c>
      <c r="J19" s="28">
        <f>COUNTIF(G$10:G19,G19)</f>
        <v>1</v>
      </c>
      <c r="K19" s="28">
        <f>COUNTIF(H$10:H19,H19)</f>
        <v>1</v>
      </c>
      <c r="L19" s="28">
        <f>COUNTIF(I$10:I19,I19)</f>
        <v>1</v>
      </c>
      <c r="M19" s="28">
        <f t="shared" si="0"/>
        <v>2</v>
      </c>
      <c r="N19" s="28">
        <f t="shared" si="1"/>
        <v>3</v>
      </c>
      <c r="O19" s="28">
        <f t="shared" si="2"/>
        <v>4</v>
      </c>
      <c r="Q19" s="49">
        <v>1</v>
      </c>
      <c r="R19" s="28">
        <f>PERCENTILE(Clouds[Cloud 1],$Q19)</f>
        <v>99</v>
      </c>
      <c r="S19" s="28">
        <f>PERCENTILE(Clouds[Cloud 2],$Q19)</f>
        <v>200</v>
      </c>
      <c r="T19" s="28">
        <f>PERCENTILE(Clouds[Cloud 3],$Q19)</f>
        <v>298</v>
      </c>
    </row>
    <row r="20" spans="4:22" x14ac:dyDescent="0.2">
      <c r="D20" s="20">
        <v>34</v>
      </c>
      <c r="E20" s="20">
        <v>167</v>
      </c>
      <c r="F20" s="57">
        <v>216</v>
      </c>
      <c r="G20" s="58">
        <v>15</v>
      </c>
      <c r="H20" s="58">
        <v>118</v>
      </c>
      <c r="I20" s="58">
        <v>216</v>
      </c>
      <c r="J20" s="28">
        <f>COUNTIF(G$10:G20,G20)</f>
        <v>1</v>
      </c>
      <c r="K20" s="28">
        <f>COUNTIF(H$10:H20,H20)</f>
        <v>1</v>
      </c>
      <c r="L20" s="28">
        <f>COUNTIF(I$10:I20,I20)</f>
        <v>2</v>
      </c>
      <c r="M20" s="28">
        <f t="shared" si="0"/>
        <v>2</v>
      </c>
      <c r="N20" s="28">
        <f t="shared" si="1"/>
        <v>3</v>
      </c>
      <c r="O20" s="28">
        <f t="shared" si="2"/>
        <v>3.5</v>
      </c>
    </row>
    <row r="21" spans="4:22" x14ac:dyDescent="0.2">
      <c r="D21" s="20">
        <v>68</v>
      </c>
      <c r="E21" s="20">
        <v>153</v>
      </c>
      <c r="F21" s="57">
        <v>217</v>
      </c>
      <c r="G21" s="58">
        <v>17</v>
      </c>
      <c r="H21" s="58">
        <v>118</v>
      </c>
      <c r="I21" s="58">
        <v>217</v>
      </c>
      <c r="J21" s="28">
        <f>COUNTIF(G$10:G21,G21)</f>
        <v>1</v>
      </c>
      <c r="K21" s="28">
        <f>COUNTIF(H$10:H21,H21)</f>
        <v>2</v>
      </c>
      <c r="L21" s="28">
        <f>COUNTIF(I$10:I21,I21)</f>
        <v>1</v>
      </c>
      <c r="M21" s="28">
        <f t="shared" si="0"/>
        <v>2</v>
      </c>
      <c r="N21" s="28">
        <f t="shared" si="1"/>
        <v>2.5</v>
      </c>
      <c r="O21" s="28">
        <f t="shared" si="2"/>
        <v>4</v>
      </c>
      <c r="Q21" s="63" t="s">
        <v>102</v>
      </c>
      <c r="R21" s="64"/>
      <c r="S21" s="64"/>
      <c r="T21" s="64" t="s">
        <v>86</v>
      </c>
      <c r="U21" s="64" t="s">
        <v>97</v>
      </c>
      <c r="V21" s="65" t="s">
        <v>98</v>
      </c>
    </row>
    <row r="22" spans="4:22" x14ac:dyDescent="0.2">
      <c r="D22" s="20">
        <v>62</v>
      </c>
      <c r="E22" s="20">
        <v>184</v>
      </c>
      <c r="F22" s="57">
        <v>217</v>
      </c>
      <c r="G22" s="58">
        <v>18</v>
      </c>
      <c r="H22" s="58">
        <v>119</v>
      </c>
      <c r="I22" s="58">
        <v>217</v>
      </c>
      <c r="J22" s="28">
        <f>COUNTIF(G$10:G22,G22)</f>
        <v>1</v>
      </c>
      <c r="K22" s="28">
        <f>COUNTIF(H$10:H22,H22)</f>
        <v>1</v>
      </c>
      <c r="L22" s="28">
        <f>COUNTIF(I$10:I22,I22)</f>
        <v>2</v>
      </c>
      <c r="M22" s="28">
        <f t="shared" si="0"/>
        <v>2</v>
      </c>
      <c r="N22" s="28">
        <f t="shared" si="1"/>
        <v>3</v>
      </c>
      <c r="O22" s="28">
        <f t="shared" si="2"/>
        <v>3.5</v>
      </c>
      <c r="Q22" s="61" t="s">
        <v>74</v>
      </c>
      <c r="R22" s="28"/>
      <c r="S22" s="28"/>
      <c r="T22" s="28">
        <f>R15</f>
        <v>20.5</v>
      </c>
      <c r="U22" s="28">
        <f>S15</f>
        <v>123.75</v>
      </c>
      <c r="V22" s="62">
        <f>T15</f>
        <v>223</v>
      </c>
    </row>
    <row r="23" spans="4:22" x14ac:dyDescent="0.2">
      <c r="D23" s="20">
        <v>64</v>
      </c>
      <c r="E23" s="20">
        <v>196</v>
      </c>
      <c r="F23" s="57">
        <v>218</v>
      </c>
      <c r="G23" s="58">
        <v>18</v>
      </c>
      <c r="H23" s="58">
        <v>121</v>
      </c>
      <c r="I23" s="58">
        <v>218</v>
      </c>
      <c r="J23" s="28">
        <f>COUNTIF(G$10:G23,G23)</f>
        <v>2</v>
      </c>
      <c r="K23" s="28">
        <f>COUNTIF(H$10:H23,H23)</f>
        <v>1</v>
      </c>
      <c r="L23" s="28">
        <f>COUNTIF(I$10:I23,I23)</f>
        <v>1</v>
      </c>
      <c r="M23" s="28">
        <f t="shared" si="0"/>
        <v>1.5</v>
      </c>
      <c r="N23" s="28">
        <f t="shared" si="1"/>
        <v>3</v>
      </c>
      <c r="O23" s="28">
        <f t="shared" si="2"/>
        <v>4</v>
      </c>
      <c r="Q23" s="61" t="s">
        <v>75</v>
      </c>
      <c r="R23" s="28"/>
      <c r="S23" s="28"/>
      <c r="T23" s="28">
        <f t="shared" ref="T23:V24" si="3">R16-R15</f>
        <v>23</v>
      </c>
      <c r="U23" s="28">
        <f t="shared" si="3"/>
        <v>31.25</v>
      </c>
      <c r="V23" s="62">
        <f t="shared" si="3"/>
        <v>27</v>
      </c>
    </row>
    <row r="24" spans="4:22" x14ac:dyDescent="0.2">
      <c r="D24" s="20">
        <v>92</v>
      </c>
      <c r="E24" s="20">
        <v>102</v>
      </c>
      <c r="F24" s="57">
        <v>223</v>
      </c>
      <c r="G24" s="58">
        <v>19</v>
      </c>
      <c r="H24" s="58">
        <v>123</v>
      </c>
      <c r="I24" s="58">
        <v>223</v>
      </c>
      <c r="J24" s="28">
        <f>COUNTIF(G$10:G24,G24)</f>
        <v>1</v>
      </c>
      <c r="K24" s="28">
        <f>COUNTIF(H$10:H24,H24)</f>
        <v>1</v>
      </c>
      <c r="L24" s="28">
        <f>COUNTIF(I$10:I24,I24)</f>
        <v>1</v>
      </c>
      <c r="M24" s="28">
        <f t="shared" si="0"/>
        <v>2</v>
      </c>
      <c r="N24" s="28">
        <f t="shared" si="1"/>
        <v>3</v>
      </c>
      <c r="O24" s="28">
        <f t="shared" si="2"/>
        <v>4</v>
      </c>
      <c r="Q24" s="66" t="s">
        <v>76</v>
      </c>
      <c r="R24" s="67"/>
      <c r="S24" s="67"/>
      <c r="T24" s="67">
        <f t="shared" si="3"/>
        <v>21.25</v>
      </c>
      <c r="U24" s="67">
        <f t="shared" si="3"/>
        <v>27</v>
      </c>
      <c r="V24" s="68">
        <f t="shared" si="3"/>
        <v>22.5</v>
      </c>
    </row>
    <row r="25" spans="4:22" x14ac:dyDescent="0.2">
      <c r="D25" s="20">
        <v>8</v>
      </c>
      <c r="E25" s="20">
        <v>118</v>
      </c>
      <c r="F25" s="57">
        <v>223</v>
      </c>
      <c r="G25" s="58">
        <v>21</v>
      </c>
      <c r="H25" s="58">
        <v>124</v>
      </c>
      <c r="I25" s="58">
        <v>223</v>
      </c>
      <c r="J25" s="28">
        <f>COUNTIF(G$10:G25,G25)</f>
        <v>1</v>
      </c>
      <c r="K25" s="28">
        <f>COUNTIF(H$10:H25,H25)</f>
        <v>1</v>
      </c>
      <c r="L25" s="28">
        <f>COUNTIF(I$10:I25,I25)</f>
        <v>2</v>
      </c>
      <c r="M25" s="28">
        <f t="shared" si="0"/>
        <v>2</v>
      </c>
      <c r="N25" s="28">
        <f t="shared" si="1"/>
        <v>3</v>
      </c>
      <c r="O25" s="28">
        <f t="shared" si="2"/>
        <v>3.5</v>
      </c>
    </row>
    <row r="26" spans="4:22" x14ac:dyDescent="0.2">
      <c r="D26" s="20">
        <v>60</v>
      </c>
      <c r="E26" s="20">
        <v>191</v>
      </c>
      <c r="F26" s="57">
        <v>224</v>
      </c>
      <c r="G26" s="58">
        <v>27</v>
      </c>
      <c r="H26" s="58">
        <v>125</v>
      </c>
      <c r="I26" s="58">
        <v>224</v>
      </c>
      <c r="J26" s="28">
        <f>COUNTIF(G$10:G26,G26)</f>
        <v>1</v>
      </c>
      <c r="K26" s="28">
        <f>COUNTIF(H$10:H26,H26)</f>
        <v>1</v>
      </c>
      <c r="L26" s="28">
        <f>COUNTIF(I$10:I26,I26)</f>
        <v>1</v>
      </c>
      <c r="M26" s="28">
        <f t="shared" si="0"/>
        <v>2</v>
      </c>
      <c r="N26" s="28">
        <f t="shared" si="1"/>
        <v>3</v>
      </c>
      <c r="O26" s="28">
        <f t="shared" si="2"/>
        <v>4</v>
      </c>
      <c r="Q26" s="53" t="s">
        <v>78</v>
      </c>
      <c r="R26" s="53" t="s">
        <v>77</v>
      </c>
    </row>
    <row r="27" spans="4:22" x14ac:dyDescent="0.2">
      <c r="D27" s="20">
        <v>12</v>
      </c>
      <c r="E27" s="20">
        <v>144</v>
      </c>
      <c r="F27" s="57">
        <v>225</v>
      </c>
      <c r="G27" s="58">
        <v>27</v>
      </c>
      <c r="H27" s="58">
        <v>126</v>
      </c>
      <c r="I27" s="58">
        <v>225</v>
      </c>
      <c r="J27" s="28">
        <f>COUNTIF(G$10:G27,G27)</f>
        <v>2</v>
      </c>
      <c r="K27" s="28">
        <f>COUNTIF(H$10:H27,H27)</f>
        <v>1</v>
      </c>
      <c r="L27" s="28">
        <f>COUNTIF(I$10:I27,I27)</f>
        <v>1</v>
      </c>
      <c r="M27" s="28">
        <f t="shared" si="0"/>
        <v>1.5</v>
      </c>
      <c r="N27" s="28">
        <f t="shared" si="1"/>
        <v>3</v>
      </c>
      <c r="O27" s="28">
        <f t="shared" si="2"/>
        <v>4</v>
      </c>
      <c r="Q27" s="28">
        <f>R16</f>
        <v>43.5</v>
      </c>
      <c r="R27" s="50">
        <v>2.5</v>
      </c>
    </row>
    <row r="28" spans="4:22" x14ac:dyDescent="0.2">
      <c r="D28" s="20">
        <v>48</v>
      </c>
      <c r="E28" s="20">
        <v>174</v>
      </c>
      <c r="F28" s="57">
        <v>225</v>
      </c>
      <c r="G28" s="58">
        <v>28</v>
      </c>
      <c r="H28" s="58">
        <v>127</v>
      </c>
      <c r="I28" s="58">
        <v>225</v>
      </c>
      <c r="J28" s="28">
        <f>COUNTIF(G$10:G28,G28)</f>
        <v>1</v>
      </c>
      <c r="K28" s="28">
        <f>COUNTIF(H$10:H28,H28)</f>
        <v>1</v>
      </c>
      <c r="L28" s="28">
        <f>COUNTIF(I$10:I28,I28)</f>
        <v>2</v>
      </c>
      <c r="M28" s="28">
        <f t="shared" si="0"/>
        <v>2</v>
      </c>
      <c r="N28" s="28">
        <f t="shared" si="1"/>
        <v>3</v>
      </c>
      <c r="O28" s="28">
        <f t="shared" si="2"/>
        <v>3.5</v>
      </c>
      <c r="Q28" s="28">
        <f>S16</f>
        <v>155</v>
      </c>
      <c r="R28" s="50">
        <v>3.5</v>
      </c>
    </row>
    <row r="29" spans="4:22" x14ac:dyDescent="0.2">
      <c r="D29" s="20">
        <v>31</v>
      </c>
      <c r="E29" s="20">
        <v>111</v>
      </c>
      <c r="F29" s="57">
        <v>226</v>
      </c>
      <c r="G29" s="58">
        <v>28</v>
      </c>
      <c r="H29" s="58">
        <v>128</v>
      </c>
      <c r="I29" s="58">
        <v>226</v>
      </c>
      <c r="J29" s="28">
        <f>COUNTIF(G$10:G29,G29)</f>
        <v>2</v>
      </c>
      <c r="K29" s="28">
        <f>COUNTIF(H$10:H29,H29)</f>
        <v>1</v>
      </c>
      <c r="L29" s="28">
        <f>COUNTIF(I$10:I29,I29)</f>
        <v>1</v>
      </c>
      <c r="M29" s="28">
        <f t="shared" si="0"/>
        <v>1.5</v>
      </c>
      <c r="N29" s="28">
        <f t="shared" si="1"/>
        <v>3</v>
      </c>
      <c r="O29" s="28">
        <f t="shared" si="2"/>
        <v>4</v>
      </c>
      <c r="Q29" s="28">
        <f>T16</f>
        <v>250</v>
      </c>
      <c r="R29" s="50">
        <v>4.5</v>
      </c>
    </row>
    <row r="30" spans="4:22" x14ac:dyDescent="0.2">
      <c r="D30" s="20">
        <v>18</v>
      </c>
      <c r="E30" s="20">
        <v>175</v>
      </c>
      <c r="F30" s="57">
        <v>226</v>
      </c>
      <c r="G30" s="58">
        <v>29</v>
      </c>
      <c r="H30" s="58">
        <v>138</v>
      </c>
      <c r="I30" s="58">
        <v>226</v>
      </c>
      <c r="J30" s="28">
        <f>COUNTIF(G$10:G30,G30)</f>
        <v>1</v>
      </c>
      <c r="K30" s="28">
        <f>COUNTIF(H$10:H30,H30)</f>
        <v>1</v>
      </c>
      <c r="L30" s="28">
        <f>COUNTIF(I$10:I30,I30)</f>
        <v>2</v>
      </c>
      <c r="M30" s="28">
        <f t="shared" si="0"/>
        <v>2</v>
      </c>
      <c r="N30" s="28">
        <f t="shared" si="1"/>
        <v>3</v>
      </c>
      <c r="O30" s="28">
        <f t="shared" si="2"/>
        <v>3.5</v>
      </c>
    </row>
    <row r="31" spans="4:22" x14ac:dyDescent="0.2">
      <c r="D31" s="20">
        <v>56</v>
      </c>
      <c r="E31" s="20">
        <v>116</v>
      </c>
      <c r="F31" s="57">
        <v>229</v>
      </c>
      <c r="G31" s="58">
        <v>29</v>
      </c>
      <c r="H31" s="58">
        <v>143</v>
      </c>
      <c r="I31" s="58">
        <v>229</v>
      </c>
      <c r="J31" s="28">
        <f>COUNTIF(G$10:G31,G31)</f>
        <v>2</v>
      </c>
      <c r="K31" s="28">
        <f>COUNTIF(H$10:H31,H31)</f>
        <v>1</v>
      </c>
      <c r="L31" s="28">
        <f>COUNTIF(I$10:I31,I31)</f>
        <v>1</v>
      </c>
      <c r="M31" s="28">
        <f t="shared" si="0"/>
        <v>1.5</v>
      </c>
      <c r="N31" s="28">
        <f t="shared" si="1"/>
        <v>3</v>
      </c>
      <c r="O31" s="28">
        <f t="shared" si="2"/>
        <v>4</v>
      </c>
      <c r="Q31" s="52" t="s">
        <v>87</v>
      </c>
      <c r="R31" s="13"/>
      <c r="S31" s="13"/>
      <c r="T31" s="13"/>
    </row>
    <row r="32" spans="4:22" x14ac:dyDescent="0.2">
      <c r="D32" s="20">
        <v>90</v>
      </c>
      <c r="E32" s="20">
        <v>143</v>
      </c>
      <c r="F32" s="57">
        <v>230</v>
      </c>
      <c r="G32" s="58">
        <v>31</v>
      </c>
      <c r="H32" s="58">
        <v>144</v>
      </c>
      <c r="I32" s="58">
        <v>230</v>
      </c>
      <c r="J32" s="28">
        <f>COUNTIF(G$10:G32,G32)</f>
        <v>1</v>
      </c>
      <c r="K32" s="28">
        <f>COUNTIF(H$10:H32,H32)</f>
        <v>1</v>
      </c>
      <c r="L32" s="28">
        <f>COUNTIF(I$10:I32,I32)</f>
        <v>1</v>
      </c>
      <c r="M32" s="28">
        <f t="shared" si="0"/>
        <v>2</v>
      </c>
      <c r="N32" s="28">
        <f t="shared" si="1"/>
        <v>3</v>
      </c>
      <c r="O32" s="28">
        <f t="shared" si="2"/>
        <v>4</v>
      </c>
      <c r="Q32" s="51" t="s">
        <v>80</v>
      </c>
      <c r="R32" s="28">
        <f>-R16+R18</f>
        <v>46.5</v>
      </c>
      <c r="S32" s="28">
        <f>-S16+S18</f>
        <v>36.099999999999994</v>
      </c>
      <c r="T32" s="28">
        <f>-T16+T18</f>
        <v>40.199999999999989</v>
      </c>
    </row>
    <row r="33" spans="4:20" x14ac:dyDescent="0.2">
      <c r="D33" s="20">
        <v>10</v>
      </c>
      <c r="E33" s="20">
        <v>116</v>
      </c>
      <c r="F33" s="57">
        <v>237</v>
      </c>
      <c r="G33" s="58">
        <v>31</v>
      </c>
      <c r="H33" s="58">
        <v>146</v>
      </c>
      <c r="I33" s="58">
        <v>237</v>
      </c>
      <c r="J33" s="28">
        <f>COUNTIF(G$10:G33,G33)</f>
        <v>2</v>
      </c>
      <c r="K33" s="28">
        <f>COUNTIF(H$10:H33,H33)</f>
        <v>1</v>
      </c>
      <c r="L33" s="28">
        <f>COUNTIF(I$10:I33,I33)</f>
        <v>1</v>
      </c>
      <c r="M33" s="28">
        <f t="shared" si="0"/>
        <v>1.5</v>
      </c>
      <c r="N33" s="28">
        <f t="shared" si="1"/>
        <v>3</v>
      </c>
      <c r="O33" s="28">
        <f t="shared" si="2"/>
        <v>4</v>
      </c>
      <c r="Q33" s="51" t="s">
        <v>79</v>
      </c>
      <c r="R33" s="28">
        <f>R16-R14</f>
        <v>31.6</v>
      </c>
      <c r="S33" s="28">
        <f>S16-S14</f>
        <v>42.2</v>
      </c>
      <c r="T33" s="28">
        <f>T16-T14</f>
        <v>39.199999999999989</v>
      </c>
    </row>
    <row r="34" spans="4:20" x14ac:dyDescent="0.2">
      <c r="D34" s="20">
        <v>9</v>
      </c>
      <c r="E34" s="20">
        <v>168</v>
      </c>
      <c r="F34" s="57">
        <v>240</v>
      </c>
      <c r="G34" s="58">
        <v>31</v>
      </c>
      <c r="H34" s="58">
        <v>147</v>
      </c>
      <c r="I34" s="58">
        <v>240</v>
      </c>
      <c r="J34" s="28">
        <f>COUNTIF(G$10:G34,G34)</f>
        <v>3</v>
      </c>
      <c r="K34" s="28">
        <f>COUNTIF(H$10:H34,H34)</f>
        <v>1</v>
      </c>
      <c r="L34" s="28">
        <f>COUNTIF(I$10:I34,I34)</f>
        <v>1</v>
      </c>
      <c r="M34" s="28">
        <f t="shared" si="0"/>
        <v>1</v>
      </c>
      <c r="N34" s="28">
        <f t="shared" si="1"/>
        <v>3</v>
      </c>
      <c r="O34" s="28">
        <f t="shared" si="2"/>
        <v>4</v>
      </c>
    </row>
    <row r="35" spans="4:20" x14ac:dyDescent="0.2">
      <c r="D35" s="20">
        <v>92</v>
      </c>
      <c r="E35" s="20">
        <v>196</v>
      </c>
      <c r="F35" s="57">
        <v>240</v>
      </c>
      <c r="G35" s="58">
        <v>33</v>
      </c>
      <c r="H35" s="58">
        <v>149</v>
      </c>
      <c r="I35" s="58">
        <v>240</v>
      </c>
      <c r="J35" s="28">
        <f>COUNTIF(G$10:G35,G35)</f>
        <v>1</v>
      </c>
      <c r="K35" s="28">
        <f>COUNTIF(H$10:H35,H35)</f>
        <v>1</v>
      </c>
      <c r="L35" s="28">
        <f>COUNTIF(I$10:I35,I35)</f>
        <v>2</v>
      </c>
      <c r="M35" s="28">
        <f t="shared" si="0"/>
        <v>2</v>
      </c>
      <c r="N35" s="28">
        <f t="shared" si="1"/>
        <v>3</v>
      </c>
      <c r="O35" s="28">
        <f t="shared" si="2"/>
        <v>3.5</v>
      </c>
    </row>
    <row r="36" spans="4:20" x14ac:dyDescent="0.2">
      <c r="D36" s="20">
        <v>31</v>
      </c>
      <c r="E36" s="20">
        <v>105</v>
      </c>
      <c r="F36" s="57">
        <v>241</v>
      </c>
      <c r="G36" s="58">
        <v>34</v>
      </c>
      <c r="H36" s="58">
        <v>149</v>
      </c>
      <c r="I36" s="58">
        <v>241</v>
      </c>
      <c r="J36" s="28">
        <f>COUNTIF(G$10:G36,G36)</f>
        <v>1</v>
      </c>
      <c r="K36" s="28">
        <f>COUNTIF(H$10:H36,H36)</f>
        <v>2</v>
      </c>
      <c r="L36" s="28">
        <f>COUNTIF(I$10:I36,I36)</f>
        <v>1</v>
      </c>
      <c r="M36" s="28">
        <f t="shared" si="0"/>
        <v>2</v>
      </c>
      <c r="N36" s="28">
        <f t="shared" si="1"/>
        <v>2.5</v>
      </c>
      <c r="O36" s="28">
        <f t="shared" si="2"/>
        <v>4</v>
      </c>
    </row>
    <row r="37" spans="4:20" x14ac:dyDescent="0.2">
      <c r="D37" s="20">
        <v>13</v>
      </c>
      <c r="E37" s="20">
        <v>124</v>
      </c>
      <c r="F37" s="57">
        <v>242</v>
      </c>
      <c r="G37" s="58">
        <v>38</v>
      </c>
      <c r="H37" s="58">
        <v>150</v>
      </c>
      <c r="I37" s="58">
        <v>242</v>
      </c>
      <c r="J37" s="28">
        <f>COUNTIF(G$10:G37,G37)</f>
        <v>1</v>
      </c>
      <c r="K37" s="28">
        <f>COUNTIF(H$10:H37,H37)</f>
        <v>1</v>
      </c>
      <c r="L37" s="28">
        <f>COUNTIF(I$10:I37,I37)</f>
        <v>1</v>
      </c>
      <c r="M37" s="28">
        <f t="shared" si="0"/>
        <v>2</v>
      </c>
      <c r="N37" s="28">
        <f t="shared" si="1"/>
        <v>3</v>
      </c>
      <c r="O37" s="28">
        <f t="shared" si="2"/>
        <v>4</v>
      </c>
    </row>
    <row r="38" spans="4:20" x14ac:dyDescent="0.2">
      <c r="D38" s="20">
        <v>93</v>
      </c>
      <c r="E38" s="20">
        <v>150</v>
      </c>
      <c r="F38" s="57">
        <v>248</v>
      </c>
      <c r="G38" s="58">
        <v>39</v>
      </c>
      <c r="H38" s="58">
        <v>153</v>
      </c>
      <c r="I38" s="58">
        <v>248</v>
      </c>
      <c r="J38" s="28">
        <f>COUNTIF(G$10:G38,G38)</f>
        <v>1</v>
      </c>
      <c r="K38" s="28">
        <f>COUNTIF(H$10:H38,H38)</f>
        <v>1</v>
      </c>
      <c r="L38" s="28">
        <f>COUNTIF(I$10:I38,I38)</f>
        <v>1</v>
      </c>
      <c r="M38" s="28">
        <f t="shared" si="0"/>
        <v>2</v>
      </c>
      <c r="N38" s="28">
        <f t="shared" si="1"/>
        <v>3</v>
      </c>
      <c r="O38" s="28">
        <f t="shared" si="2"/>
        <v>4</v>
      </c>
    </row>
    <row r="39" spans="4:20" x14ac:dyDescent="0.2">
      <c r="D39" s="20">
        <v>95</v>
      </c>
      <c r="E39" s="20">
        <v>182</v>
      </c>
      <c r="F39" s="57">
        <v>250</v>
      </c>
      <c r="G39" s="58">
        <v>43</v>
      </c>
      <c r="H39" s="58">
        <v>154</v>
      </c>
      <c r="I39" s="58">
        <v>250</v>
      </c>
      <c r="J39" s="28">
        <f>COUNTIF(G$10:G39,G39)</f>
        <v>1</v>
      </c>
      <c r="K39" s="28">
        <f>COUNTIF(H$10:H39,H39)</f>
        <v>1</v>
      </c>
      <c r="L39" s="28">
        <f>COUNTIF(I$10:I39,I39)</f>
        <v>1</v>
      </c>
      <c r="M39" s="28">
        <f t="shared" si="0"/>
        <v>2</v>
      </c>
      <c r="N39" s="28">
        <f t="shared" si="1"/>
        <v>3</v>
      </c>
      <c r="O39" s="28">
        <f t="shared" si="2"/>
        <v>4</v>
      </c>
    </row>
    <row r="40" spans="4:20" x14ac:dyDescent="0.2">
      <c r="D40" s="20">
        <v>11</v>
      </c>
      <c r="E40" s="20">
        <v>186</v>
      </c>
      <c r="F40" s="57">
        <v>250</v>
      </c>
      <c r="G40" s="58">
        <v>44</v>
      </c>
      <c r="H40" s="58">
        <v>156</v>
      </c>
      <c r="I40" s="58">
        <v>250</v>
      </c>
      <c r="J40" s="28">
        <f>COUNTIF(G$10:G40,G40)</f>
        <v>1</v>
      </c>
      <c r="K40" s="28">
        <f>COUNTIF(H$10:H40,H40)</f>
        <v>1</v>
      </c>
      <c r="L40" s="28">
        <f>COUNTIF(I$10:I40,I40)</f>
        <v>2</v>
      </c>
      <c r="M40" s="28">
        <f t="shared" si="0"/>
        <v>2</v>
      </c>
      <c r="N40" s="28">
        <f t="shared" si="1"/>
        <v>3</v>
      </c>
      <c r="O40" s="28">
        <f t="shared" si="2"/>
        <v>3.5</v>
      </c>
    </row>
    <row r="41" spans="4:20" x14ac:dyDescent="0.2">
      <c r="D41" s="20">
        <v>27</v>
      </c>
      <c r="E41" s="20">
        <v>182</v>
      </c>
      <c r="F41" s="57">
        <v>251</v>
      </c>
      <c r="G41" s="58">
        <v>48</v>
      </c>
      <c r="H41" s="58">
        <v>160</v>
      </c>
      <c r="I41" s="58">
        <v>251</v>
      </c>
      <c r="J41" s="28">
        <f>COUNTIF(G$10:G41,G41)</f>
        <v>1</v>
      </c>
      <c r="K41" s="28">
        <f>COUNTIF(H$10:H41,H41)</f>
        <v>1</v>
      </c>
      <c r="L41" s="28">
        <f>COUNTIF(I$10:I41,I41)</f>
        <v>1</v>
      </c>
      <c r="M41" s="28">
        <f t="shared" si="0"/>
        <v>2</v>
      </c>
      <c r="N41" s="28">
        <f t="shared" si="1"/>
        <v>3</v>
      </c>
      <c r="O41" s="28">
        <f t="shared" si="2"/>
        <v>4</v>
      </c>
    </row>
    <row r="42" spans="4:20" x14ac:dyDescent="0.2">
      <c r="D42" s="20">
        <v>31</v>
      </c>
      <c r="E42" s="20">
        <v>149</v>
      </c>
      <c r="F42" s="57">
        <v>252</v>
      </c>
      <c r="G42" s="58">
        <v>48</v>
      </c>
      <c r="H42" s="58">
        <v>160</v>
      </c>
      <c r="I42" s="58">
        <v>252</v>
      </c>
      <c r="J42" s="28">
        <f>COUNTIF(G$10:G42,G42)</f>
        <v>2</v>
      </c>
      <c r="K42" s="28">
        <f>COUNTIF(H$10:H42,H42)</f>
        <v>2</v>
      </c>
      <c r="L42" s="28">
        <f>COUNTIF(I$10:I42,I42)</f>
        <v>1</v>
      </c>
      <c r="M42" s="28">
        <f t="shared" ref="M42:M69" si="4">IF(J42=1,R$9,M41+R$10)</f>
        <v>1.5</v>
      </c>
      <c r="N42" s="28">
        <f t="shared" ref="N42:N69" si="5">IF(K42=1,S$9,N41+S$10)</f>
        <v>2.5</v>
      </c>
      <c r="O42" s="28">
        <f t="shared" ref="O42:O69" si="6">IF(L42=1,T$9,O41+T$10)</f>
        <v>4</v>
      </c>
    </row>
    <row r="43" spans="4:20" x14ac:dyDescent="0.2">
      <c r="D43" s="20">
        <v>67</v>
      </c>
      <c r="E43" s="20">
        <v>198</v>
      </c>
      <c r="F43" s="57">
        <v>252</v>
      </c>
      <c r="G43" s="58">
        <v>50</v>
      </c>
      <c r="H43" s="58">
        <v>164</v>
      </c>
      <c r="I43" s="58">
        <v>252</v>
      </c>
      <c r="J43" s="28">
        <f>COUNTIF(G$10:G43,G43)</f>
        <v>1</v>
      </c>
      <c r="K43" s="28">
        <f>COUNTIF(H$10:H43,H43)</f>
        <v>1</v>
      </c>
      <c r="L43" s="28">
        <f>COUNTIF(I$10:I43,I43)</f>
        <v>2</v>
      </c>
      <c r="M43" s="28">
        <f t="shared" si="4"/>
        <v>2</v>
      </c>
      <c r="N43" s="28">
        <f t="shared" si="5"/>
        <v>3</v>
      </c>
      <c r="O43" s="28">
        <f t="shared" si="6"/>
        <v>3.5</v>
      </c>
    </row>
    <row r="44" spans="4:20" x14ac:dyDescent="0.2">
      <c r="D44" s="20">
        <v>68</v>
      </c>
      <c r="E44" s="20">
        <v>138</v>
      </c>
      <c r="F44" s="57">
        <v>253</v>
      </c>
      <c r="G44" s="58">
        <v>51</v>
      </c>
      <c r="H44" s="58">
        <v>167</v>
      </c>
      <c r="I44" s="58">
        <v>253</v>
      </c>
      <c r="J44" s="28">
        <f>COUNTIF(G$10:G44,G44)</f>
        <v>1</v>
      </c>
      <c r="K44" s="28">
        <f>COUNTIF(H$10:H44,H44)</f>
        <v>1</v>
      </c>
      <c r="L44" s="28">
        <f>COUNTIF(I$10:I44,I44)</f>
        <v>1</v>
      </c>
      <c r="M44" s="28">
        <f t="shared" si="4"/>
        <v>2</v>
      </c>
      <c r="N44" s="28">
        <f t="shared" si="5"/>
        <v>3</v>
      </c>
      <c r="O44" s="28">
        <f t="shared" si="6"/>
        <v>4</v>
      </c>
    </row>
    <row r="45" spans="4:20" x14ac:dyDescent="0.2">
      <c r="D45" s="20">
        <v>19</v>
      </c>
      <c r="E45" s="20">
        <v>160</v>
      </c>
      <c r="F45" s="57">
        <v>253</v>
      </c>
      <c r="G45" s="58">
        <v>52</v>
      </c>
      <c r="H45" s="58">
        <v>168</v>
      </c>
      <c r="I45" s="58">
        <v>253</v>
      </c>
      <c r="J45" s="28">
        <f>COUNTIF(G$10:G45,G45)</f>
        <v>1</v>
      </c>
      <c r="K45" s="28">
        <f>COUNTIF(H$10:H45,H45)</f>
        <v>1</v>
      </c>
      <c r="L45" s="28">
        <f>COUNTIF(I$10:I45,I45)</f>
        <v>2</v>
      </c>
      <c r="M45" s="28">
        <f t="shared" si="4"/>
        <v>2</v>
      </c>
      <c r="N45" s="28">
        <f t="shared" si="5"/>
        <v>3</v>
      </c>
      <c r="O45" s="28">
        <f t="shared" si="6"/>
        <v>3.5</v>
      </c>
    </row>
    <row r="46" spans="4:20" x14ac:dyDescent="0.2">
      <c r="D46" s="20">
        <v>28</v>
      </c>
      <c r="E46" s="20">
        <v>191</v>
      </c>
      <c r="F46" s="57">
        <v>254</v>
      </c>
      <c r="G46" s="58">
        <v>53</v>
      </c>
      <c r="H46" s="58">
        <v>172</v>
      </c>
      <c r="I46" s="58">
        <v>254</v>
      </c>
      <c r="J46" s="28">
        <f>COUNTIF(G$10:G46,G46)</f>
        <v>1</v>
      </c>
      <c r="K46" s="28">
        <f>COUNTIF(H$10:H46,H46)</f>
        <v>1</v>
      </c>
      <c r="L46" s="28">
        <f>COUNTIF(I$10:I46,I46)</f>
        <v>1</v>
      </c>
      <c r="M46" s="28">
        <f t="shared" si="4"/>
        <v>2</v>
      </c>
      <c r="N46" s="28">
        <f t="shared" si="5"/>
        <v>3</v>
      </c>
      <c r="O46" s="28">
        <f t="shared" si="6"/>
        <v>4</v>
      </c>
    </row>
    <row r="47" spans="4:20" x14ac:dyDescent="0.2">
      <c r="D47" s="20">
        <v>29</v>
      </c>
      <c r="E47" s="20">
        <v>117</v>
      </c>
      <c r="F47" s="57">
        <v>257</v>
      </c>
      <c r="G47" s="58">
        <v>53</v>
      </c>
      <c r="H47" s="58">
        <v>173</v>
      </c>
      <c r="I47" s="58">
        <v>257</v>
      </c>
      <c r="J47" s="28">
        <f>COUNTIF(G$10:G47,G47)</f>
        <v>2</v>
      </c>
      <c r="K47" s="28">
        <f>COUNTIF(H$10:H47,H47)</f>
        <v>1</v>
      </c>
      <c r="L47" s="28">
        <f>COUNTIF(I$10:I47,I47)</f>
        <v>1</v>
      </c>
      <c r="M47" s="28">
        <f t="shared" si="4"/>
        <v>1.5</v>
      </c>
      <c r="N47" s="28">
        <f t="shared" si="5"/>
        <v>3</v>
      </c>
      <c r="O47" s="28">
        <f t="shared" si="6"/>
        <v>4</v>
      </c>
    </row>
    <row r="48" spans="4:20" x14ac:dyDescent="0.2">
      <c r="D48" s="20">
        <v>17</v>
      </c>
      <c r="E48" s="20">
        <v>123</v>
      </c>
      <c r="F48" s="57">
        <v>257</v>
      </c>
      <c r="G48" s="58">
        <v>56</v>
      </c>
      <c r="H48" s="58">
        <v>174</v>
      </c>
      <c r="I48" s="58">
        <v>257</v>
      </c>
      <c r="J48" s="28">
        <f>COUNTIF(G$10:G48,G48)</f>
        <v>1</v>
      </c>
      <c r="K48" s="28">
        <f>COUNTIF(H$10:H48,H48)</f>
        <v>1</v>
      </c>
      <c r="L48" s="28">
        <f>COUNTIF(I$10:I48,I48)</f>
        <v>2</v>
      </c>
      <c r="M48" s="28">
        <f t="shared" si="4"/>
        <v>2</v>
      </c>
      <c r="N48" s="28">
        <f t="shared" si="5"/>
        <v>3</v>
      </c>
      <c r="O48" s="28">
        <f t="shared" si="6"/>
        <v>3.5</v>
      </c>
    </row>
    <row r="49" spans="4:15" x14ac:dyDescent="0.2">
      <c r="D49" s="20">
        <v>18</v>
      </c>
      <c r="E49" s="20">
        <v>172</v>
      </c>
      <c r="F49" s="57">
        <v>259</v>
      </c>
      <c r="G49" s="58">
        <v>56</v>
      </c>
      <c r="H49" s="58">
        <v>175</v>
      </c>
      <c r="I49" s="58">
        <v>259</v>
      </c>
      <c r="J49" s="28">
        <f>COUNTIF(G$10:G49,G49)</f>
        <v>2</v>
      </c>
      <c r="K49" s="28">
        <f>COUNTIF(H$10:H49,H49)</f>
        <v>1</v>
      </c>
      <c r="L49" s="28">
        <f>COUNTIF(I$10:I49,I49)</f>
        <v>1</v>
      </c>
      <c r="M49" s="28">
        <f t="shared" si="4"/>
        <v>1.5</v>
      </c>
      <c r="N49" s="28">
        <f t="shared" si="5"/>
        <v>3</v>
      </c>
      <c r="O49" s="28">
        <f t="shared" si="6"/>
        <v>4</v>
      </c>
    </row>
    <row r="50" spans="4:15" x14ac:dyDescent="0.2">
      <c r="D50" s="20">
        <v>44</v>
      </c>
      <c r="E50" s="20">
        <v>128</v>
      </c>
      <c r="F50" s="57">
        <v>262</v>
      </c>
      <c r="G50" s="58">
        <v>60</v>
      </c>
      <c r="H50" s="58">
        <v>177</v>
      </c>
      <c r="I50" s="58">
        <v>262</v>
      </c>
      <c r="J50" s="28">
        <f>COUNTIF(G$10:G50,G50)</f>
        <v>1</v>
      </c>
      <c r="K50" s="28">
        <f>COUNTIF(H$10:H50,H50)</f>
        <v>1</v>
      </c>
      <c r="L50" s="28">
        <f>COUNTIF(I$10:I50,I50)</f>
        <v>1</v>
      </c>
      <c r="M50" s="28">
        <f t="shared" si="4"/>
        <v>2</v>
      </c>
      <c r="N50" s="28">
        <f t="shared" si="5"/>
        <v>3</v>
      </c>
      <c r="O50" s="28">
        <f t="shared" si="6"/>
        <v>4</v>
      </c>
    </row>
    <row r="51" spans="4:15" x14ac:dyDescent="0.2">
      <c r="D51" s="20">
        <v>60</v>
      </c>
      <c r="E51" s="20">
        <v>191</v>
      </c>
      <c r="F51" s="57">
        <v>262</v>
      </c>
      <c r="G51" s="58">
        <v>60</v>
      </c>
      <c r="H51" s="58">
        <v>179</v>
      </c>
      <c r="I51" s="58">
        <v>262</v>
      </c>
      <c r="J51" s="28">
        <f>COUNTIF(G$10:G51,G51)</f>
        <v>2</v>
      </c>
      <c r="K51" s="28">
        <f>COUNTIF(H$10:H51,H51)</f>
        <v>1</v>
      </c>
      <c r="L51" s="28">
        <f>COUNTIF(I$10:I51,I51)</f>
        <v>2</v>
      </c>
      <c r="M51" s="28">
        <f t="shared" si="4"/>
        <v>1.5</v>
      </c>
      <c r="N51" s="28">
        <f t="shared" si="5"/>
        <v>3</v>
      </c>
      <c r="O51" s="28">
        <f t="shared" si="6"/>
        <v>3.5</v>
      </c>
    </row>
    <row r="52" spans="4:15" x14ac:dyDescent="0.2">
      <c r="D52" s="20">
        <v>43</v>
      </c>
      <c r="E52" s="20">
        <v>125</v>
      </c>
      <c r="F52" s="57">
        <v>265</v>
      </c>
      <c r="G52" s="58">
        <v>62</v>
      </c>
      <c r="H52" s="58">
        <v>181</v>
      </c>
      <c r="I52" s="58">
        <v>265</v>
      </c>
      <c r="J52" s="28">
        <f>COUNTIF(G$10:G52,G52)</f>
        <v>1</v>
      </c>
      <c r="K52" s="28">
        <f>COUNTIF(H$10:H52,H52)</f>
        <v>1</v>
      </c>
      <c r="L52" s="28">
        <f>COUNTIF(I$10:I52,I52)</f>
        <v>1</v>
      </c>
      <c r="M52" s="28">
        <f t="shared" si="4"/>
        <v>2</v>
      </c>
      <c r="N52" s="28">
        <f t="shared" si="5"/>
        <v>3</v>
      </c>
      <c r="O52" s="28">
        <f t="shared" si="6"/>
        <v>4</v>
      </c>
    </row>
    <row r="53" spans="4:15" x14ac:dyDescent="0.2">
      <c r="D53" s="20">
        <v>68</v>
      </c>
      <c r="E53" s="20">
        <v>126</v>
      </c>
      <c r="F53" s="57">
        <v>265</v>
      </c>
      <c r="G53" s="58">
        <v>63</v>
      </c>
      <c r="H53" s="58">
        <v>182</v>
      </c>
      <c r="I53" s="58">
        <v>265</v>
      </c>
      <c r="J53" s="28">
        <f>COUNTIF(G$10:G53,G53)</f>
        <v>1</v>
      </c>
      <c r="K53" s="28">
        <f>COUNTIF(H$10:H53,H53)</f>
        <v>1</v>
      </c>
      <c r="L53" s="28">
        <f>COUNTIF(I$10:I53,I53)</f>
        <v>2</v>
      </c>
      <c r="M53" s="28">
        <f t="shared" si="4"/>
        <v>2</v>
      </c>
      <c r="N53" s="28">
        <f t="shared" si="5"/>
        <v>3</v>
      </c>
      <c r="O53" s="28">
        <f t="shared" si="6"/>
        <v>3.5</v>
      </c>
    </row>
    <row r="54" spans="4:15" x14ac:dyDescent="0.2">
      <c r="D54" s="20">
        <v>39</v>
      </c>
      <c r="E54" s="20">
        <v>121</v>
      </c>
      <c r="F54" s="57">
        <v>272</v>
      </c>
      <c r="G54" s="58">
        <v>64</v>
      </c>
      <c r="H54" s="58">
        <v>182</v>
      </c>
      <c r="I54" s="58">
        <v>272</v>
      </c>
      <c r="J54" s="28">
        <f>COUNTIF(G$10:G54,G54)</f>
        <v>1</v>
      </c>
      <c r="K54" s="28">
        <f>COUNTIF(H$10:H54,H54)</f>
        <v>2</v>
      </c>
      <c r="L54" s="28">
        <f>COUNTIF(I$10:I54,I54)</f>
        <v>1</v>
      </c>
      <c r="M54" s="28">
        <f t="shared" si="4"/>
        <v>2</v>
      </c>
      <c r="N54" s="28">
        <f t="shared" si="5"/>
        <v>2.5</v>
      </c>
      <c r="O54" s="28">
        <f t="shared" si="6"/>
        <v>4</v>
      </c>
    </row>
    <row r="55" spans="4:15" x14ac:dyDescent="0.2">
      <c r="D55" s="20">
        <v>15</v>
      </c>
      <c r="E55" s="20">
        <v>156</v>
      </c>
      <c r="F55" s="57">
        <v>274</v>
      </c>
      <c r="G55" s="58">
        <v>67</v>
      </c>
      <c r="H55" s="58">
        <v>182</v>
      </c>
      <c r="I55" s="58">
        <v>274</v>
      </c>
      <c r="J55" s="28">
        <f>COUNTIF(G$10:G55,G55)</f>
        <v>1</v>
      </c>
      <c r="K55" s="28">
        <f>COUNTIF(H$10:H55,H55)</f>
        <v>3</v>
      </c>
      <c r="L55" s="28">
        <f>COUNTIF(I$10:I55,I55)</f>
        <v>1</v>
      </c>
      <c r="M55" s="28">
        <f t="shared" si="4"/>
        <v>2</v>
      </c>
      <c r="N55" s="28">
        <f t="shared" si="5"/>
        <v>2</v>
      </c>
      <c r="O55" s="28">
        <f t="shared" si="6"/>
        <v>4</v>
      </c>
    </row>
    <row r="56" spans="4:15" x14ac:dyDescent="0.2">
      <c r="D56" s="20">
        <v>21</v>
      </c>
      <c r="E56" s="20">
        <v>192</v>
      </c>
      <c r="F56" s="57">
        <v>280</v>
      </c>
      <c r="G56" s="58">
        <v>67</v>
      </c>
      <c r="H56" s="58">
        <v>184</v>
      </c>
      <c r="I56" s="58">
        <v>280</v>
      </c>
      <c r="J56" s="28">
        <f>COUNTIF(G$10:G56,G56)</f>
        <v>2</v>
      </c>
      <c r="K56" s="28">
        <f>COUNTIF(H$10:H56,H56)</f>
        <v>1</v>
      </c>
      <c r="L56" s="28">
        <f>COUNTIF(I$10:I56,I56)</f>
        <v>1</v>
      </c>
      <c r="M56" s="28">
        <f t="shared" si="4"/>
        <v>1.5</v>
      </c>
      <c r="N56" s="28">
        <f t="shared" si="5"/>
        <v>3</v>
      </c>
      <c r="O56" s="28">
        <f t="shared" si="6"/>
        <v>4</v>
      </c>
    </row>
    <row r="57" spans="4:15" x14ac:dyDescent="0.2">
      <c r="D57" s="20">
        <v>8</v>
      </c>
      <c r="E57" s="20">
        <v>105</v>
      </c>
      <c r="F57" s="57">
        <v>283</v>
      </c>
      <c r="G57" s="58">
        <v>68</v>
      </c>
      <c r="H57" s="58">
        <v>186</v>
      </c>
      <c r="I57" s="58">
        <v>283</v>
      </c>
      <c r="J57" s="28">
        <f>COUNTIF(G$10:G57,G57)</f>
        <v>1</v>
      </c>
      <c r="K57" s="28">
        <f>COUNTIF(H$10:H57,H57)</f>
        <v>1</v>
      </c>
      <c r="L57" s="28">
        <f>COUNTIF(I$10:I57,I57)</f>
        <v>1</v>
      </c>
      <c r="M57" s="28">
        <f t="shared" si="4"/>
        <v>2</v>
      </c>
      <c r="N57" s="28">
        <f t="shared" si="5"/>
        <v>3</v>
      </c>
      <c r="O57" s="28">
        <f t="shared" si="6"/>
        <v>4</v>
      </c>
    </row>
    <row r="58" spans="4:15" x14ac:dyDescent="0.2">
      <c r="D58" s="20">
        <v>53</v>
      </c>
      <c r="E58" s="20">
        <v>200</v>
      </c>
      <c r="F58" s="57">
        <v>283</v>
      </c>
      <c r="G58" s="58">
        <v>68</v>
      </c>
      <c r="H58" s="58">
        <v>189</v>
      </c>
      <c r="I58" s="58">
        <v>283</v>
      </c>
      <c r="J58" s="28">
        <f>COUNTIF(G$10:G58,G58)</f>
        <v>2</v>
      </c>
      <c r="K58" s="28">
        <f>COUNTIF(H$10:H58,H58)</f>
        <v>1</v>
      </c>
      <c r="L58" s="28">
        <f>COUNTIF(I$10:I58,I58)</f>
        <v>2</v>
      </c>
      <c r="M58" s="28">
        <f t="shared" si="4"/>
        <v>1.5</v>
      </c>
      <c r="N58" s="28">
        <f t="shared" si="5"/>
        <v>3</v>
      </c>
      <c r="O58" s="28">
        <f t="shared" si="6"/>
        <v>3.5</v>
      </c>
    </row>
    <row r="59" spans="4:15" x14ac:dyDescent="0.2">
      <c r="D59" s="20">
        <v>1</v>
      </c>
      <c r="E59" s="20">
        <v>179</v>
      </c>
      <c r="F59" s="57">
        <v>285</v>
      </c>
      <c r="G59" s="58">
        <v>68</v>
      </c>
      <c r="H59" s="58">
        <v>190</v>
      </c>
      <c r="I59" s="58">
        <v>285</v>
      </c>
      <c r="J59" s="28">
        <f>COUNTIF(G$10:G59,G59)</f>
        <v>3</v>
      </c>
      <c r="K59" s="28">
        <f>COUNTIF(H$10:H59,H59)</f>
        <v>1</v>
      </c>
      <c r="L59" s="28">
        <f>COUNTIF(I$10:I59,I59)</f>
        <v>1</v>
      </c>
      <c r="M59" s="28">
        <f t="shared" si="4"/>
        <v>1</v>
      </c>
      <c r="N59" s="28">
        <f t="shared" si="5"/>
        <v>3</v>
      </c>
      <c r="O59" s="28">
        <f t="shared" si="6"/>
        <v>4</v>
      </c>
    </row>
    <row r="60" spans="4:15" x14ac:dyDescent="0.2">
      <c r="D60" s="20">
        <v>63</v>
      </c>
      <c r="E60" s="20">
        <v>113</v>
      </c>
      <c r="F60" s="57">
        <v>290</v>
      </c>
      <c r="G60" s="58">
        <v>70</v>
      </c>
      <c r="H60" s="58">
        <v>191</v>
      </c>
      <c r="I60" s="58">
        <v>290</v>
      </c>
      <c r="J60" s="28">
        <f>COUNTIF(G$10:G60,G60)</f>
        <v>1</v>
      </c>
      <c r="K60" s="28">
        <f>COUNTIF(H$10:H60,H60)</f>
        <v>1</v>
      </c>
      <c r="L60" s="28">
        <f>COUNTIF(I$10:I60,I60)</f>
        <v>1</v>
      </c>
      <c r="M60" s="28">
        <f t="shared" si="4"/>
        <v>2</v>
      </c>
      <c r="N60" s="28">
        <f t="shared" si="5"/>
        <v>3</v>
      </c>
      <c r="O60" s="28">
        <f t="shared" si="6"/>
        <v>4</v>
      </c>
    </row>
    <row r="61" spans="4:15" x14ac:dyDescent="0.2">
      <c r="D61" s="20">
        <v>73</v>
      </c>
      <c r="E61" s="20">
        <v>146</v>
      </c>
      <c r="F61" s="57">
        <v>290</v>
      </c>
      <c r="G61" s="58">
        <v>73</v>
      </c>
      <c r="H61" s="58">
        <v>191</v>
      </c>
      <c r="I61" s="58">
        <v>290</v>
      </c>
      <c r="J61" s="28">
        <f>COUNTIF(G$10:G61,G61)</f>
        <v>1</v>
      </c>
      <c r="K61" s="28">
        <f>COUNTIF(H$10:H61,H61)</f>
        <v>2</v>
      </c>
      <c r="L61" s="28">
        <f>COUNTIF(I$10:I61,I61)</f>
        <v>2</v>
      </c>
      <c r="M61" s="28">
        <f t="shared" si="4"/>
        <v>2</v>
      </c>
      <c r="N61" s="28">
        <f t="shared" si="5"/>
        <v>2.5</v>
      </c>
      <c r="O61" s="28">
        <f t="shared" si="6"/>
        <v>3.5</v>
      </c>
    </row>
    <row r="62" spans="4:15" x14ac:dyDescent="0.2">
      <c r="D62" s="20">
        <v>78</v>
      </c>
      <c r="E62" s="20">
        <v>173</v>
      </c>
      <c r="F62" s="57">
        <v>290</v>
      </c>
      <c r="G62" s="58">
        <v>78</v>
      </c>
      <c r="H62" s="58">
        <v>191</v>
      </c>
      <c r="I62" s="58">
        <v>290</v>
      </c>
      <c r="J62" s="28">
        <f>COUNTIF(G$10:G62,G62)</f>
        <v>1</v>
      </c>
      <c r="K62" s="28">
        <f>COUNTIF(H$10:H62,H62)</f>
        <v>3</v>
      </c>
      <c r="L62" s="28">
        <f>COUNTIF(I$10:I62,I62)</f>
        <v>3</v>
      </c>
      <c r="M62" s="28">
        <f t="shared" si="4"/>
        <v>2</v>
      </c>
      <c r="N62" s="28">
        <f t="shared" si="5"/>
        <v>2</v>
      </c>
      <c r="O62" s="28">
        <f t="shared" si="6"/>
        <v>3</v>
      </c>
    </row>
    <row r="63" spans="4:15" x14ac:dyDescent="0.2">
      <c r="D63" s="20">
        <v>90</v>
      </c>
      <c r="E63" s="20">
        <v>189</v>
      </c>
      <c r="F63" s="57">
        <v>290</v>
      </c>
      <c r="G63" s="58">
        <v>90</v>
      </c>
      <c r="H63" s="58">
        <v>191</v>
      </c>
      <c r="I63" s="58">
        <v>290</v>
      </c>
      <c r="J63" s="28">
        <f>COUNTIF(G$10:G63,G63)</f>
        <v>1</v>
      </c>
      <c r="K63" s="28">
        <f>COUNTIF(H$10:H63,H63)</f>
        <v>4</v>
      </c>
      <c r="L63" s="28">
        <f>COUNTIF(I$10:I63,I63)</f>
        <v>4</v>
      </c>
      <c r="M63" s="28">
        <f t="shared" si="4"/>
        <v>2</v>
      </c>
      <c r="N63" s="28">
        <f t="shared" si="5"/>
        <v>1.5</v>
      </c>
      <c r="O63" s="28">
        <f t="shared" si="6"/>
        <v>2.5</v>
      </c>
    </row>
    <row r="64" spans="4:15" x14ac:dyDescent="0.2">
      <c r="D64" s="20">
        <v>51</v>
      </c>
      <c r="E64" s="20">
        <v>154</v>
      </c>
      <c r="F64" s="57">
        <v>292</v>
      </c>
      <c r="G64" s="58">
        <v>90</v>
      </c>
      <c r="H64" s="58">
        <v>192</v>
      </c>
      <c r="I64" s="58">
        <v>292</v>
      </c>
      <c r="J64" s="28">
        <f>COUNTIF(G$10:G64,G64)</f>
        <v>2</v>
      </c>
      <c r="K64" s="28">
        <f>COUNTIF(H$10:H64,H64)</f>
        <v>1</v>
      </c>
      <c r="L64" s="28">
        <f>COUNTIF(I$10:I64,I64)</f>
        <v>1</v>
      </c>
      <c r="M64" s="28">
        <f t="shared" si="4"/>
        <v>1.5</v>
      </c>
      <c r="N64" s="28">
        <f t="shared" si="5"/>
        <v>3</v>
      </c>
      <c r="O64" s="28">
        <f t="shared" si="6"/>
        <v>4</v>
      </c>
    </row>
    <row r="65" spans="4:15" x14ac:dyDescent="0.2">
      <c r="D65" s="20">
        <v>27</v>
      </c>
      <c r="E65" s="20">
        <v>177</v>
      </c>
      <c r="F65" s="57">
        <v>293</v>
      </c>
      <c r="G65" s="58">
        <v>92</v>
      </c>
      <c r="H65" s="58">
        <v>196</v>
      </c>
      <c r="I65" s="58">
        <v>293</v>
      </c>
      <c r="J65" s="28">
        <f>COUNTIF(G$10:G65,G65)</f>
        <v>1</v>
      </c>
      <c r="K65" s="28">
        <f>COUNTIF(H$10:H65,H65)</f>
        <v>1</v>
      </c>
      <c r="L65" s="28">
        <f>COUNTIF(I$10:I65,I65)</f>
        <v>1</v>
      </c>
      <c r="M65" s="28">
        <f t="shared" si="4"/>
        <v>2</v>
      </c>
      <c r="N65" s="28">
        <f t="shared" si="5"/>
        <v>3</v>
      </c>
      <c r="O65" s="28">
        <f t="shared" si="6"/>
        <v>4</v>
      </c>
    </row>
    <row r="66" spans="4:15" x14ac:dyDescent="0.2">
      <c r="D66" s="20">
        <v>56</v>
      </c>
      <c r="E66" s="20">
        <v>106</v>
      </c>
      <c r="F66" s="57">
        <v>295</v>
      </c>
      <c r="G66" s="58">
        <v>92</v>
      </c>
      <c r="H66" s="58">
        <v>196</v>
      </c>
      <c r="I66" s="58">
        <v>295</v>
      </c>
      <c r="J66" s="28">
        <f>COUNTIF(G$10:G66,G66)</f>
        <v>2</v>
      </c>
      <c r="K66" s="28">
        <f>COUNTIF(H$10:H66,H66)</f>
        <v>2</v>
      </c>
      <c r="L66" s="28">
        <f>COUNTIF(I$10:I66,I66)</f>
        <v>1</v>
      </c>
      <c r="M66" s="28">
        <f t="shared" si="4"/>
        <v>1.5</v>
      </c>
      <c r="N66" s="28">
        <f t="shared" si="5"/>
        <v>2.5</v>
      </c>
      <c r="O66" s="28">
        <f t="shared" si="6"/>
        <v>4</v>
      </c>
    </row>
    <row r="67" spans="4:15" x14ac:dyDescent="0.2">
      <c r="D67" s="20">
        <v>12</v>
      </c>
      <c r="E67" s="20">
        <v>190</v>
      </c>
      <c r="F67" s="57">
        <v>295</v>
      </c>
      <c r="G67" s="58">
        <v>93</v>
      </c>
      <c r="H67" s="58">
        <v>197</v>
      </c>
      <c r="I67" s="58">
        <v>295</v>
      </c>
      <c r="J67" s="28">
        <f>COUNTIF(G$10:G67,G67)</f>
        <v>1</v>
      </c>
      <c r="K67" s="28">
        <f>COUNTIF(H$10:H67,H67)</f>
        <v>1</v>
      </c>
      <c r="L67" s="28">
        <f>COUNTIF(I$10:I67,I67)</f>
        <v>2</v>
      </c>
      <c r="M67" s="28">
        <f t="shared" si="4"/>
        <v>2</v>
      </c>
      <c r="N67" s="28">
        <f t="shared" si="5"/>
        <v>3</v>
      </c>
      <c r="O67" s="28">
        <f t="shared" si="6"/>
        <v>3.5</v>
      </c>
    </row>
    <row r="68" spans="4:15" x14ac:dyDescent="0.2">
      <c r="D68" s="20">
        <v>53</v>
      </c>
      <c r="E68" s="20">
        <v>191</v>
      </c>
      <c r="F68" s="57">
        <v>297</v>
      </c>
      <c r="G68" s="58">
        <v>95</v>
      </c>
      <c r="H68" s="58">
        <v>198</v>
      </c>
      <c r="I68" s="58">
        <v>297</v>
      </c>
      <c r="J68" s="28">
        <f>COUNTIF(G$10:G68,G68)</f>
        <v>1</v>
      </c>
      <c r="K68" s="28">
        <f>COUNTIF(H$10:H68,H68)</f>
        <v>1</v>
      </c>
      <c r="L68" s="28">
        <f>COUNTIF(I$10:I68,I68)</f>
        <v>1</v>
      </c>
      <c r="M68" s="28">
        <f t="shared" si="4"/>
        <v>2</v>
      </c>
      <c r="N68" s="28">
        <f t="shared" si="5"/>
        <v>3</v>
      </c>
      <c r="O68" s="28">
        <f t="shared" si="6"/>
        <v>4</v>
      </c>
    </row>
    <row r="69" spans="4:15" x14ac:dyDescent="0.2">
      <c r="D69" s="20">
        <v>70</v>
      </c>
      <c r="E69" s="20">
        <v>119</v>
      </c>
      <c r="F69" s="57">
        <v>298</v>
      </c>
      <c r="G69" s="58">
        <v>99</v>
      </c>
      <c r="H69" s="58">
        <v>200</v>
      </c>
      <c r="I69" s="58">
        <v>298</v>
      </c>
      <c r="J69" s="60">
        <f>COUNTIF(G$10:G69,G69)</f>
        <v>1</v>
      </c>
      <c r="K69" s="60">
        <f>COUNTIF(H$10:H69,H69)</f>
        <v>1</v>
      </c>
      <c r="L69" s="60">
        <f>COUNTIF(I$10:I69,I69)</f>
        <v>1</v>
      </c>
      <c r="M69" s="60">
        <f t="shared" si="4"/>
        <v>2</v>
      </c>
      <c r="N69" s="60">
        <f t="shared" si="5"/>
        <v>3</v>
      </c>
      <c r="O69" s="60">
        <f t="shared" si="6"/>
        <v>4</v>
      </c>
    </row>
  </sheetData>
  <mergeCells count="1">
    <mergeCell ref="A3:E3"/>
  </mergeCells>
  <phoneticPr fontId="8" type="noConversion"/>
  <conditionalFormatting sqref="F4:I4">
    <cfRule type="cellIs" dxfId="4" priority="1" operator="notEqual">
      <formula>0</formula>
    </cfRule>
  </conditionalFormatting>
  <hyperlinks>
    <hyperlink ref="D49" location="HL_Navigator" display="Navigator" xr:uid="{FA4E6226-82C1-467D-BAF8-2EB1DC2FC047}"/>
    <hyperlink ref="F4" location="Overall_Error_Check" tooltip="Go to Overall Error Check" display="Overall_Error_Check" xr:uid="{F6A9D66E-DDDE-4711-9056-8483A632204D}"/>
    <hyperlink ref="A3:E3" location="HL_Navigator" tooltip="Go to Navigator (Table of Contents)" display="Navigator" xr:uid="{02BEBD52-AFB8-442C-8E53-4896BC0316E1}"/>
    <hyperlink ref="A3" location="HL_Navigator" display="Navigator" xr:uid="{A00C5CA9-7E21-4939-84AF-013EA399D41F}"/>
  </hyperlink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1" fitToWidth="0" fitToHeight="0" orientation="landscape" r:id="rId1"/>
  <colBreaks count="1" manualBreakCount="1">
    <brk id="15" max="68" man="1"/>
  </colBreaks>
  <drawing r:id="rId2"/>
  <tableParts count="3"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outlinePr summaryBelow="0"/>
  </sheetPr>
  <dimension ref="A1:R19"/>
  <sheetViews>
    <sheetView showGridLines="0" workbookViewId="0">
      <pane ySplit="4" topLeftCell="A5" activePane="bottomLeft" state="frozen"/>
      <selection activeCell="A3" sqref="A3:E3"/>
      <selection pane="bottomLeft" activeCell="A3" sqref="A3:E3"/>
    </sheetView>
  </sheetViews>
  <sheetFormatPr defaultColWidth="0" defaultRowHeight="12" outlineLevelRow="1" x14ac:dyDescent="0.2"/>
  <cols>
    <col min="1" max="5" width="3.7109375" customWidth="1"/>
    <col min="6" max="12" width="9.140625" customWidth="1"/>
    <col min="13" max="18" width="0" hidden="1" customWidth="1"/>
    <col min="19" max="16384" width="9.140625" hidden="1"/>
  </cols>
  <sheetData>
    <row r="1" spans="1:11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Error Checks</v>
      </c>
    </row>
    <row r="2" spans="1:11" ht="18" x14ac:dyDescent="0.25">
      <c r="A2" s="41" t="str">
        <f ca="1">Model_Name</f>
        <v>SP Horizontal RainCloud Chart - Complete.xlsm</v>
      </c>
    </row>
    <row r="3" spans="1:11" x14ac:dyDescent="0.2">
      <c r="A3" s="78" t="s">
        <v>1</v>
      </c>
      <c r="B3" s="78"/>
      <c r="C3" s="78"/>
      <c r="D3" s="78"/>
      <c r="E3" s="78"/>
    </row>
    <row r="4" spans="1:11" ht="14.25" x14ac:dyDescent="0.2">
      <c r="B4" t="s">
        <v>2</v>
      </c>
      <c r="F4" s="1">
        <f>Overall_Error_Check</f>
        <v>0</v>
      </c>
    </row>
    <row r="5" spans="1:11" x14ac:dyDescent="0.2">
      <c r="A5" s="11"/>
    </row>
    <row r="6" spans="1:11" ht="16.5" thickBot="1" x14ac:dyDescent="0.3">
      <c r="B6" s="42">
        <f>MAX($B$5:$B5)+1</f>
        <v>1</v>
      </c>
      <c r="C6" s="2" t="s">
        <v>64</v>
      </c>
      <c r="D6" s="2"/>
      <c r="E6" s="2"/>
      <c r="F6" s="2"/>
      <c r="G6" s="2"/>
      <c r="H6" s="2"/>
      <c r="I6" s="2"/>
      <c r="J6" s="2"/>
      <c r="K6" s="2"/>
    </row>
    <row r="7" spans="1:11" ht="12.75" outlineLevel="1" thickTop="1" x14ac:dyDescent="0.2"/>
    <row r="8" spans="1:11" ht="16.5" outlineLevel="1" x14ac:dyDescent="0.25">
      <c r="C8" s="3" t="s">
        <v>65</v>
      </c>
    </row>
    <row r="9" spans="1:11" ht="16.5" outlineLevel="1" x14ac:dyDescent="0.25">
      <c r="C9" s="3"/>
    </row>
    <row r="10" spans="1:11" ht="16.5" outlineLevel="1" x14ac:dyDescent="0.25">
      <c r="C10" s="3"/>
      <c r="D10" s="4" t="s">
        <v>66</v>
      </c>
    </row>
    <row r="11" spans="1:11" outlineLevel="1" x14ac:dyDescent="0.2"/>
    <row r="12" spans="1:11" ht="14.25" outlineLevel="1" x14ac:dyDescent="0.2">
      <c r="E12" t="s">
        <v>67</v>
      </c>
      <c r="I12" s="37"/>
    </row>
    <row r="13" spans="1:11" outlineLevel="1" x14ac:dyDescent="0.2"/>
    <row r="14" spans="1:11" outlineLevel="1" x14ac:dyDescent="0.2"/>
    <row r="15" spans="1:11" outlineLevel="1" x14ac:dyDescent="0.2"/>
    <row r="16" spans="1:11" outlineLevel="1" x14ac:dyDescent="0.2"/>
    <row r="17" spans="5:11" ht="15" outlineLevel="1" x14ac:dyDescent="0.25">
      <c r="E17" s="4" t="str">
        <f>C8</f>
        <v>Summary of Errors</v>
      </c>
      <c r="I17" s="1">
        <f>MIN(1,SUM(I11:I15))</f>
        <v>0</v>
      </c>
      <c r="K17" s="11"/>
    </row>
    <row r="18" spans="5:11" outlineLevel="1" x14ac:dyDescent="0.2"/>
    <row r="19" spans="5:11" outlineLevel="1" x14ac:dyDescent="0.2"/>
  </sheetData>
  <mergeCells count="1">
    <mergeCell ref="A3:E3"/>
  </mergeCells>
  <conditionalFormatting sqref="I17">
    <cfRule type="cellIs" dxfId="3" priority="5" operator="notEqual">
      <formula>0</formula>
    </cfRule>
  </conditionalFormatting>
  <conditionalFormatting sqref="I12">
    <cfRule type="cellIs" dxfId="2" priority="4" operator="notEqual">
      <formula>0</formula>
    </cfRule>
  </conditionalFormatting>
  <conditionalFormatting sqref="I12">
    <cfRule type="cellIs" dxfId="1" priority="3" operator="notEqual">
      <formula>0</formula>
    </cfRule>
  </conditionalFormatting>
  <conditionalFormatting sqref="F4">
    <cfRule type="cellIs" dxfId="0" priority="1" operator="notEqual">
      <formula>0</formula>
    </cfRule>
  </conditionalFormatting>
  <hyperlinks>
    <hyperlink ref="F4" location="Overall_Error_Check" tooltip="Go to Overall Error Check" display="Overall_Error_Check" xr:uid="{00000000-0004-0000-0500-000000000000}"/>
    <hyperlink ref="A3:E3" location="HL_Navigator" tooltip="Go to Navigator (Table of Contents)" display="Navigator" xr:uid="{00000000-0004-0000-0500-000001000000}"/>
    <hyperlink ref="A3" location="HL_Navigator" display="Navigator" xr:uid="{00000000-0004-0000-0500-000002000000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f58d06b-05e3-4c65-85ba-22cd93c7683f">
      <Terms xmlns="http://schemas.microsoft.com/office/infopath/2007/PartnerControls"/>
    </lcf76f155ced4ddcb4097134ff3c332f>
    <TaxCatchAll xmlns="ac914b5e-6dd4-4de9-b905-57df3d54023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FE75ECA439A049B41314814B7E4B57" ma:contentTypeVersion="16" ma:contentTypeDescription="Create a new document." ma:contentTypeScope="" ma:versionID="494508ebd4a3a05daa041fe618f41ef2">
  <xsd:schema xmlns:xsd="http://www.w3.org/2001/XMLSchema" xmlns:xs="http://www.w3.org/2001/XMLSchema" xmlns:p="http://schemas.microsoft.com/office/2006/metadata/properties" xmlns:ns2="ff58d06b-05e3-4c65-85ba-22cd93c7683f" xmlns:ns3="ac914b5e-6dd4-4de9-b905-57df3d54023d" targetNamespace="http://schemas.microsoft.com/office/2006/metadata/properties" ma:root="true" ma:fieldsID="7b5e71be2087c237b96495c3d5aaf0da" ns2:_="" ns3:_="">
    <xsd:import namespace="ff58d06b-05e3-4c65-85ba-22cd93c7683f"/>
    <xsd:import namespace="ac914b5e-6dd4-4de9-b905-57df3d5402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58d06b-05e3-4c65-85ba-22cd93c768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ba3f6a92-6300-485e-b0cc-b70aa89c14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914b5e-6dd4-4de9-b905-57df3d54023d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60b4198c-4b14-49cc-8beb-9042bcb4eee8}" ma:internalName="TaxCatchAll" ma:showField="CatchAllData" ma:web="ac914b5e-6dd4-4de9-b905-57df3d54023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F4E4C38-BF52-4BF4-B7C4-8E4875C370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619791-D556-4F22-833E-9B506B249334}">
  <ds:schemaRefs>
    <ds:schemaRef ds:uri="http://schemas.microsoft.com/office/2006/metadata/properties"/>
    <ds:schemaRef ds:uri="http://purl.org/dc/dcmitype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ff58d06b-05e3-4c65-85ba-22cd93c7683f"/>
    <ds:schemaRef ds:uri="http://www.w3.org/XML/1998/namespace"/>
    <ds:schemaRef ds:uri="ac914b5e-6dd4-4de9-b905-57df3d54023d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C711F2DF-FB49-4C7A-8C41-2A086C293D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58d06b-05e3-4c65-85ba-22cd93c7683f"/>
    <ds:schemaRef ds:uri="ac914b5e-6dd4-4de9-b905-57df3d5402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26</vt:i4>
      </vt:variant>
    </vt:vector>
  </HeadingPairs>
  <TitlesOfParts>
    <vt:vector size="34" baseType="lpstr">
      <vt:lpstr>Cover</vt:lpstr>
      <vt:lpstr>Navigator</vt:lpstr>
      <vt:lpstr>Style Guide</vt:lpstr>
      <vt:lpstr>Model Parameters</vt:lpstr>
      <vt:lpstr>Horizontal Raincloud Bar Cloud</vt:lpstr>
      <vt:lpstr>Horz Raincloud True Cloud</vt:lpstr>
      <vt:lpstr>Horizontal Raincloud - 3 Clouds</vt:lpstr>
      <vt:lpstr>Error Checks</vt:lpstr>
      <vt:lpstr>Client_Name</vt:lpstr>
      <vt:lpstr>Days_in_Year</vt:lpstr>
      <vt:lpstr>HL_1</vt:lpstr>
      <vt:lpstr>HL_3</vt:lpstr>
      <vt:lpstr>HL_4</vt:lpstr>
      <vt:lpstr>'Horz Raincloud True Cloud'!HL_5</vt:lpstr>
      <vt:lpstr>HL_5</vt:lpstr>
      <vt:lpstr>'Horizontal Raincloud - 3 Clouds'!HL_6</vt:lpstr>
      <vt:lpstr>'Horz Raincloud True Cloud'!HL_6</vt:lpstr>
      <vt:lpstr>HL_6</vt:lpstr>
      <vt:lpstr>HL_7</vt:lpstr>
      <vt:lpstr>HL_8</vt:lpstr>
      <vt:lpstr>HL_Model_Parameters</vt:lpstr>
      <vt:lpstr>HL_Navigator</vt:lpstr>
      <vt:lpstr>Model_Name</vt:lpstr>
      <vt:lpstr>Months_in_Half_Yr</vt:lpstr>
      <vt:lpstr>Months_in_Month</vt:lpstr>
      <vt:lpstr>Months_in_Qtr</vt:lpstr>
      <vt:lpstr>Months_in_Year</vt:lpstr>
      <vt:lpstr>Overall_Error_Check</vt:lpstr>
      <vt:lpstr>'Horizontal Raincloud - 3 Clouds'!Print_Area</vt:lpstr>
      <vt:lpstr>Quarters_in_Year</vt:lpstr>
      <vt:lpstr>Rounding_Accuracy</vt:lpstr>
      <vt:lpstr>Thousand</vt:lpstr>
      <vt:lpstr>Very_Large_Number</vt:lpstr>
      <vt:lpstr>Very_Small_Number</vt:lpstr>
    </vt:vector>
  </TitlesOfParts>
  <Company>SumProduct Pty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</dc:creator>
  <cp:lastModifiedBy>Sam Ngo</cp:lastModifiedBy>
  <cp:lastPrinted>2022-11-11T00:56:18Z</cp:lastPrinted>
  <dcterms:created xsi:type="dcterms:W3CDTF">2012-10-20T20:39:47Z</dcterms:created>
  <dcterms:modified xsi:type="dcterms:W3CDTF">2024-01-12T00:17:19Z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0x01010015FE75ECA439A049B41314814B7E4B57</vt:lpwstr>
  </property>
  <property fmtid="{D5CDD505-2E9C-101B-9397-08002B2CF9AE}" pid="3" name="MediaServiceImageTags">
    <vt:lpwstr/>
  </property>
</Properties>
</file>