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mproduct0.sharepoint.com/sites/SumProductTeam/Shared Documents/General/Sam/Research/Formula Development/Matrix Manipulation/"/>
    </mc:Choice>
  </mc:AlternateContent>
  <xr:revisionPtr revIDLastSave="240" documentId="6_{777558F1-4A00-40D2-9053-B6709AE7F7A1}" xr6:coauthVersionLast="47" xr6:coauthVersionMax="47" xr10:uidLastSave="{22A9DF31-EA43-4413-8D27-9317EEF113D0}"/>
  <bookViews>
    <workbookView xWindow="28680" yWindow="-120" windowWidth="29040" windowHeight="15720" xr2:uid="{00000000-000D-0000-FFFF-FFFF00000000}"/>
  </bookViews>
  <sheets>
    <sheet name="Cover" sheetId="1" r:id="rId1"/>
    <sheet name="Navigator" sheetId="3" r:id="rId2"/>
    <sheet name="Style Guide" sheetId="4" r:id="rId3"/>
    <sheet name="Model Parameters" sheetId="2" r:id="rId4"/>
    <sheet name="Timing" sheetId="6" r:id="rId5"/>
    <sheet name="Error Checks" sheetId="5" r:id="rId6"/>
    <sheet name="1D Array" sheetId="12" r:id="rId7"/>
    <sheet name="2D Array" sheetId="9" r:id="rId8"/>
    <sheet name="3D Array" sheetId="13" r:id="rId9"/>
    <sheet name="A" sheetId="14" r:id="rId10"/>
    <sheet name="1" sheetId="17" r:id="rId11"/>
    <sheet name="2" sheetId="15" r:id="rId12"/>
    <sheet name="3" sheetId="18" r:id="rId13"/>
    <sheet name="B" sheetId="16" r:id="rId14"/>
    <sheet name="4D Array" sheetId="19" r:id="rId15"/>
  </sheets>
  <definedNames>
    <definedName name="_xleta.ADDRESS" hidden="1" xlm="1">#NAME?</definedName>
    <definedName name="_xleta.AVERAGEA" hidden="1" xlm="1">#NAME?</definedName>
    <definedName name="_xleta.BYCOL" hidden="1" xlm="1">#NAME?</definedName>
    <definedName name="_xleta.COUNTA" hidden="1" xlm="1">#NAME?</definedName>
    <definedName name="_xleta.COUNTIF" hidden="1" xlm="1">#NAME?</definedName>
    <definedName name="_xleta.HSTACK" hidden="1" xlm="1">#NAME?</definedName>
    <definedName name="_xleta.INDIRECT" hidden="1" xlm="1">#NAME?</definedName>
    <definedName name="_xleta.LEFT" hidden="1" xlm="1">#NAME?</definedName>
    <definedName name="_xleta.MATCH" hidden="1" xlm="1">#NAME?</definedName>
    <definedName name="_xleta.MINA" hidden="1" xlm="1">#NAME?</definedName>
    <definedName name="_xleta.MMULT" hidden="1" xlm="1">#NAME?</definedName>
    <definedName name="_xleta.OFFSET" hidden="1" xlm="1">#NAME?</definedName>
    <definedName name="_xleta.PRODUCT" hidden="1" xlm="1">#NAME?</definedName>
    <definedName name="_xleta.RIGHT" hidden="1" xlm="1">#NAME?</definedName>
    <definedName name="_xleta.ROW" hidden="1" xlm="1">#NAME?</definedName>
    <definedName name="_xleta.SCAN" hidden="1" xlm="1">#NAME?</definedName>
    <definedName name="_xleta.SUBTOTAL" hidden="1" xlm="1">#NAME?</definedName>
    <definedName name="_xleta.SUM" hidden="1" xlm="1">#NAME?</definedName>
    <definedName name="_xleta.SUMPRODUCT" hidden="1" xlm="1">#NAME?</definedName>
    <definedName name="_xleta.T" hidden="1" xlm="1">#NAME?</definedName>
    <definedName name="_xleta.VSTACK" hidden="1" xlm="1">#NAME?</definedName>
    <definedName name="_xlpm.a" hidden="1" xlm="1">#NAME?</definedName>
    <definedName name="_xlpm.b" hidden="1" xlm="1">#NAME?</definedName>
    <definedName name="_xlpm.c" hidden="1" xlm="1">#NAME?</definedName>
    <definedName name="_xlpm.cc" hidden="1" xlm="1">#NAME?</definedName>
    <definedName name="_xlpm.cl" hidden="1" xlm="1">#NAME?</definedName>
    <definedName name="_xlpm.col" hidden="1" xlm="1">#NAME?</definedName>
    <definedName name="_xlpm.criteria" hidden="1" xlm="1">#NAME?</definedName>
    <definedName name="_xlpm.d" hidden="1" xlm="1">#NAME?</definedName>
    <definedName name="_xlpm.data" hidden="1" xlm="1">#NAME?</definedName>
    <definedName name="_xlpm.r" hidden="1" xlm="1">#NAME?</definedName>
    <definedName name="_xlpm.rc" hidden="1" xlm="1">#NAME?</definedName>
    <definedName name="_xlpm.rw" hidden="1" xlm="1">#NAME?</definedName>
    <definedName name="_xlpm.v" hidden="1" xlm="1">#NAME?</definedName>
    <definedName name="_xlpm.w" hidden="1" xlm="1">#NAME?</definedName>
    <definedName name="_xlpm.x" hidden="1" xlm="1">#NAME?</definedName>
    <definedName name="_xlpm.y" hidden="1" xlm="1">#NAME?</definedName>
    <definedName name="Client_Name">'Model Parameters'!$G$12</definedName>
    <definedName name="Days_in_Year">'Model Parameters'!$G$19</definedName>
    <definedName name="Example_Reporting_Month">Timing!$H$19</definedName>
    <definedName name="HL_1">Cover!$A$3</definedName>
    <definedName name="HL_10">A!$A$3</definedName>
    <definedName name="HL_11">'1'!$A$3</definedName>
    <definedName name="HL_12">'2'!$A$3</definedName>
    <definedName name="HL_13">'3'!$A$3</definedName>
    <definedName name="HL_14">B!$A$3</definedName>
    <definedName name="HL_15">'4D Array'!$A$3</definedName>
    <definedName name="HL_3">'Style Guide'!$A$3</definedName>
    <definedName name="HL_4">'Model Parameters'!$A$3</definedName>
    <definedName name="HL_5">Timing!$A$3</definedName>
    <definedName name="HL_6">'Error Checks'!$A$3</definedName>
    <definedName name="HL_7" localSheetId="6">'1D Array'!$A$3</definedName>
    <definedName name="HL_7">'2D Array'!$A$3</definedName>
    <definedName name="HL_8">'2D Array'!$A$3</definedName>
    <definedName name="HL_9">'3D Array'!$A$3</definedName>
    <definedName name="HL_Model_Parameters">'Model Parameters'!$A$5</definedName>
    <definedName name="HL_Navigator">Navigator!$A$1</definedName>
    <definedName name="LS_Sheet_Name">'3D Array'!$E$99:$E$101</definedName>
    <definedName name="Model_Name">'Model Parameters'!$G$11</definedName>
    <definedName name="Model_Start_Date">Timing!$H$15</definedName>
    <definedName name="Months_in_Half_Yr">'Model Parameters'!$G$22</definedName>
    <definedName name="Months_in_Month">'Model Parameters'!$G$20</definedName>
    <definedName name="Months_in_Qtr">'Model Parameters'!$G$21</definedName>
    <definedName name="Months_in_Year">'Model Parameters'!$G$23</definedName>
    <definedName name="Number_of_Periods" localSheetId="6">'1D Array'!$G$10</definedName>
    <definedName name="Number_of_Periods">'2D Array'!$G$10</definedName>
    <definedName name="Overall_Error_Check">'Error Checks'!$I$17</definedName>
    <definedName name="Periodicity">Timing!$H$17</definedName>
    <definedName name="Quarters_in_Year">'Model Parameters'!$G$24</definedName>
    <definedName name="Reporting_Month_Factor">Timing!$H$21</definedName>
    <definedName name="Rounding_Accuracy">'Model Parameters'!$G$26</definedName>
    <definedName name="Thousand">'Model Parameters'!$G$31</definedName>
    <definedName name="Very_Large_Number">'Model Parameters'!$G$28</definedName>
    <definedName name="Very_Small_Number">'Model Parameters'!$G$29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7" l="1" a="1"/>
  <c r="B1" i="17" s="1"/>
  <c r="A1" i="17" a="1"/>
  <c r="A1" i="17" s="1"/>
  <c r="G186" i="9" a="1"/>
  <c r="G186" i="9" s="1"/>
  <c r="H112" i="9" a="1"/>
  <c r="H112" i="9" s="1"/>
  <c r="I112" i="9" a="1"/>
  <c r="I112" i="9" s="1"/>
  <c r="J112" i="9" a="1"/>
  <c r="J112" i="9" s="1"/>
  <c r="K112" i="9" a="1"/>
  <c r="K112" i="9" s="1"/>
  <c r="L112" i="9" a="1"/>
  <c r="L112" i="9" s="1"/>
  <c r="M112" i="9" a="1"/>
  <c r="M112" i="9" s="1"/>
  <c r="N112" i="9" a="1"/>
  <c r="N112" i="9" s="1"/>
  <c r="O112" i="9" a="1"/>
  <c r="O112" i="9" s="1"/>
  <c r="P112" i="9" a="1"/>
  <c r="P112" i="9" s="1"/>
  <c r="G112" i="9" a="1"/>
  <c r="G112" i="9" s="1"/>
  <c r="S108" i="9" a="1"/>
  <c r="S108" i="9" s="1"/>
  <c r="R108" i="9" a="1"/>
  <c r="R108" i="9" s="1"/>
  <c r="E108" i="9" a="1"/>
  <c r="E108" i="9" s="1"/>
  <c r="G106" i="9" a="1"/>
  <c r="G106" i="9" s="1"/>
  <c r="E133" i="13" l="1" a="1"/>
  <c r="E133" i="13" s="1"/>
  <c r="G118" i="9"/>
  <c r="A1" i="18" a="1"/>
  <c r="A1" i="18" s="1"/>
  <c r="A1" i="15" a="1"/>
  <c r="A1" i="15" s="1"/>
  <c r="A1" i="13" l="1"/>
  <c r="C6" i="13" s="1"/>
  <c r="B6" i="13"/>
  <c r="G4" i="13"/>
  <c r="E15" i="9" a="1"/>
  <c r="G15" i="9" a="1"/>
  <c r="G15" i="9" l="1"/>
  <c r="B1" i="18" a="1"/>
  <c r="B1" i="18" s="1"/>
  <c r="E15" i="9"/>
  <c r="E44" i="9" s="1" a="1"/>
  <c r="E71" i="9" a="1"/>
  <c r="G15" i="12" a="1"/>
  <c r="G15" i="12" s="1"/>
  <c r="G37" i="12" s="1" a="1"/>
  <c r="G12" i="12" a="1"/>
  <c r="G12" i="12" s="1"/>
  <c r="B6" i="12"/>
  <c r="G4" i="12"/>
  <c r="A1" i="12"/>
  <c r="C6" i="12" s="1"/>
  <c r="E132" i="9" a="1"/>
  <c r="E132" i="9" s="1"/>
  <c r="E125" i="9" a="1"/>
  <c r="E125" i="9" s="1"/>
  <c r="E151" i="9" a="1"/>
  <c r="E151" i="9" s="1"/>
  <c r="B1" i="15" l="1" a="1"/>
  <c r="F80" i="9" a="1"/>
  <c r="F80" i="9" s="1"/>
  <c r="B1" i="16" a="1"/>
  <c r="B1" i="16" s="1"/>
  <c r="B1" i="14" a="1"/>
  <c r="E62" i="9" a="1"/>
  <c r="E62" i="9" s="1"/>
  <c r="G62" i="9" s="1" a="1"/>
  <c r="E44" i="9"/>
  <c r="E71" i="9"/>
  <c r="G71" i="9" a="1"/>
  <c r="G71" i="9" s="1"/>
  <c r="J37" i="12"/>
  <c r="K37" i="12"/>
  <c r="M37" i="12"/>
  <c r="N37" i="12"/>
  <c r="O37" i="12"/>
  <c r="P37" i="12"/>
  <c r="L37" i="12"/>
  <c r="G37" i="12"/>
  <c r="H37" i="12"/>
  <c r="I37" i="12"/>
  <c r="G34" i="12" a="1"/>
  <c r="G34" i="12" s="1"/>
  <c r="G19" i="12" a="1"/>
  <c r="G42" i="12" a="1"/>
  <c r="G42" i="12" s="1"/>
  <c r="E53" i="9" a="1"/>
  <c r="E53" i="9" s="1"/>
  <c r="M119" i="13" a="1"/>
  <c r="K119" i="13" a="1"/>
  <c r="N119" i="13" a="1"/>
  <c r="J119" i="13" a="1"/>
  <c r="F119" i="13" a="1"/>
  <c r="H119" i="13" a="1"/>
  <c r="L119" i="13" a="1"/>
  <c r="G119" i="13" a="1"/>
  <c r="I119" i="13" a="1"/>
  <c r="N119" i="13" l="1"/>
  <c r="J119" i="13"/>
  <c r="I119" i="13"/>
  <c r="M119" i="13"/>
  <c r="G119" i="13"/>
  <c r="K119" i="13"/>
  <c r="H119" i="13"/>
  <c r="L119" i="13"/>
  <c r="F119" i="13"/>
  <c r="B1" i="15"/>
  <c r="B1" i="14"/>
  <c r="N86" i="13"/>
  <c r="N92" i="13"/>
  <c r="G75" i="13"/>
  <c r="F58" i="13"/>
  <c r="G62" i="13"/>
  <c r="E62" i="13"/>
  <c r="G50" i="13"/>
  <c r="F87" i="13"/>
  <c r="E85" i="13"/>
  <c r="H75" i="13"/>
  <c r="G58" i="13"/>
  <c r="H62" i="13"/>
  <c r="E63" i="13"/>
  <c r="H50" i="13"/>
  <c r="E46" i="13"/>
  <c r="H88" i="13"/>
  <c r="E86" i="13"/>
  <c r="I75" i="13"/>
  <c r="H58" i="13"/>
  <c r="I62" i="13"/>
  <c r="E64" i="13"/>
  <c r="I50" i="13"/>
  <c r="K89" i="13"/>
  <c r="I64" i="13"/>
  <c r="J72" i="13"/>
  <c r="J64" i="13"/>
  <c r="E53" i="13"/>
  <c r="K64" i="13"/>
  <c r="L72" i="13"/>
  <c r="L64" i="13"/>
  <c r="H47" i="13"/>
  <c r="G85" i="13"/>
  <c r="N64" i="13"/>
  <c r="G90" i="13"/>
  <c r="M59" i="13"/>
  <c r="I91" i="13"/>
  <c r="G65" i="13"/>
  <c r="K91" i="13"/>
  <c r="F61" i="13"/>
  <c r="K53" i="13"/>
  <c r="G73" i="13"/>
  <c r="I65" i="13"/>
  <c r="N85" i="13"/>
  <c r="H61" i="13"/>
  <c r="M53" i="13"/>
  <c r="I74" i="13"/>
  <c r="K65" i="13"/>
  <c r="H86" i="13"/>
  <c r="J61" i="13"/>
  <c r="G45" i="13"/>
  <c r="K74" i="13"/>
  <c r="M65" i="13"/>
  <c r="H45" i="13"/>
  <c r="J92" i="13"/>
  <c r="L61" i="13"/>
  <c r="I45" i="13"/>
  <c r="M74" i="13"/>
  <c r="F66" i="13"/>
  <c r="F46" i="13"/>
  <c r="J88" i="13"/>
  <c r="E87" i="13"/>
  <c r="J75" i="13"/>
  <c r="I58" i="13"/>
  <c r="J62" i="13"/>
  <c r="E65" i="13"/>
  <c r="J50" i="13"/>
  <c r="K58" i="13"/>
  <c r="M79" i="13"/>
  <c r="M62" i="13"/>
  <c r="E50" i="13"/>
  <c r="N75" i="13"/>
  <c r="I46" i="13"/>
  <c r="F50" i="13"/>
  <c r="E72" i="13"/>
  <c r="N58" i="13"/>
  <c r="J46" i="13"/>
  <c r="E51" i="13"/>
  <c r="F77" i="13"/>
  <c r="G64" i="13"/>
  <c r="I52" i="13"/>
  <c r="J89" i="13"/>
  <c r="G77" i="13"/>
  <c r="H64" i="13"/>
  <c r="J52" i="13"/>
  <c r="I72" i="13"/>
  <c r="H59" i="13"/>
  <c r="K52" i="13"/>
  <c r="L89" i="13"/>
  <c r="I59" i="13"/>
  <c r="N46" i="13"/>
  <c r="M89" i="13"/>
  <c r="J59" i="13"/>
  <c r="M52" i="13"/>
  <c r="N89" i="13"/>
  <c r="K59" i="13"/>
  <c r="M72" i="13"/>
  <c r="L59" i="13"/>
  <c r="H53" i="13"/>
  <c r="N72" i="13"/>
  <c r="F65" i="13"/>
  <c r="J85" i="13"/>
  <c r="N60" i="13"/>
  <c r="F73" i="13"/>
  <c r="F78" i="13"/>
  <c r="M48" i="13"/>
  <c r="L85" i="13"/>
  <c r="G61" i="13"/>
  <c r="L53" i="13"/>
  <c r="H74" i="13"/>
  <c r="J65" i="13"/>
  <c r="F86" i="13"/>
  <c r="I61" i="13"/>
  <c r="N53" i="13"/>
  <c r="J74" i="13"/>
  <c r="L65" i="13"/>
  <c r="H92" i="13"/>
  <c r="K78" i="13"/>
  <c r="J49" i="13"/>
  <c r="J86" i="13"/>
  <c r="L78" i="13"/>
  <c r="K49" i="13"/>
  <c r="K92" i="13"/>
  <c r="M78" i="13"/>
  <c r="L49" i="13"/>
  <c r="L92" i="13"/>
  <c r="E75" i="13"/>
  <c r="N61" i="13"/>
  <c r="M49" i="13"/>
  <c r="M86" i="13"/>
  <c r="M92" i="13"/>
  <c r="F75" i="13"/>
  <c r="F62" i="13"/>
  <c r="E61" i="13"/>
  <c r="N49" i="13"/>
  <c r="E47" i="13"/>
  <c r="K88" i="13"/>
  <c r="J79" i="13"/>
  <c r="K75" i="13"/>
  <c r="J58" i="13"/>
  <c r="K62" i="13"/>
  <c r="E66" i="13"/>
  <c r="K50" i="13"/>
  <c r="F48" i="13"/>
  <c r="L88" i="13"/>
  <c r="L79" i="13"/>
  <c r="L75" i="13"/>
  <c r="L62" i="13"/>
  <c r="G46" i="13"/>
  <c r="L50" i="13"/>
  <c r="E49" i="13"/>
  <c r="M88" i="13"/>
  <c r="M75" i="13"/>
  <c r="L58" i="13"/>
  <c r="H46" i="13"/>
  <c r="M50" i="13"/>
  <c r="F89" i="13"/>
  <c r="N79" i="13"/>
  <c r="M58" i="13"/>
  <c r="N62" i="13"/>
  <c r="G52" i="13"/>
  <c r="G89" i="13"/>
  <c r="E76" i="13"/>
  <c r="F64" i="13"/>
  <c r="H52" i="13"/>
  <c r="I89" i="13"/>
  <c r="G72" i="13"/>
  <c r="F59" i="13"/>
  <c r="K46" i="13"/>
  <c r="F51" i="13"/>
  <c r="H72" i="13"/>
  <c r="G59" i="13"/>
  <c r="L46" i="13"/>
  <c r="E52" i="13"/>
  <c r="H77" i="13"/>
  <c r="M46" i="13"/>
  <c r="F52" i="13"/>
  <c r="I77" i="13"/>
  <c r="L52" i="13"/>
  <c r="K72" i="13"/>
  <c r="J77" i="13"/>
  <c r="G47" i="13"/>
  <c r="F53" i="13"/>
  <c r="K77" i="13"/>
  <c r="G53" i="13"/>
  <c r="F90" i="13"/>
  <c r="M77" i="13"/>
  <c r="I47" i="13"/>
  <c r="I85" i="13"/>
  <c r="N77" i="13"/>
  <c r="K48" i="13"/>
  <c r="I53" i="13"/>
  <c r="E73" i="13"/>
  <c r="E78" i="13"/>
  <c r="L48" i="13"/>
  <c r="J53" i="13"/>
  <c r="K85" i="13"/>
  <c r="H65" i="13"/>
  <c r="L91" i="13"/>
  <c r="G78" i="13"/>
  <c r="N48" i="13"/>
  <c r="M91" i="13"/>
  <c r="H78" i="13"/>
  <c r="G49" i="13"/>
  <c r="N91" i="13"/>
  <c r="I78" i="13"/>
  <c r="H49" i="13"/>
  <c r="G92" i="13"/>
  <c r="J78" i="13"/>
  <c r="I49" i="13"/>
  <c r="I86" i="13"/>
  <c r="K61" i="13"/>
  <c r="L74" i="13"/>
  <c r="N65" i="13"/>
  <c r="K86" i="13"/>
  <c r="M61" i="13"/>
  <c r="L86" i="13"/>
  <c r="N71" i="13"/>
  <c r="E60" i="13"/>
  <c r="N84" i="13"/>
  <c r="N87" i="13"/>
  <c r="I66" i="13"/>
  <c r="E88" i="13"/>
  <c r="I48" i="13"/>
  <c r="L51" i="13"/>
  <c r="H63" i="13"/>
  <c r="H90" i="13"/>
  <c r="L60" i="13"/>
  <c r="L63" i="13"/>
  <c r="N66" i="13"/>
  <c r="G87" i="13"/>
  <c r="H89" i="13"/>
  <c r="L84" i="13"/>
  <c r="L66" i="13"/>
  <c r="N45" i="13"/>
  <c r="H60" i="13"/>
  <c r="E79" i="13"/>
  <c r="F71" i="13"/>
  <c r="M90" i="13"/>
  <c r="J63" i="13"/>
  <c r="N74" i="13"/>
  <c r="E90" i="13"/>
  <c r="I73" i="13"/>
  <c r="F72" i="13"/>
  <c r="K84" i="13"/>
  <c r="J90" i="13"/>
  <c r="J76" i="13"/>
  <c r="E89" i="13"/>
  <c r="N88" i="13"/>
  <c r="H84" i="13"/>
  <c r="H87" i="13"/>
  <c r="M51" i="13"/>
  <c r="G60" i="13"/>
  <c r="M76" i="13"/>
  <c r="L76" i="13"/>
  <c r="G79" i="13"/>
  <c r="G71" i="13"/>
  <c r="I92" i="13"/>
  <c r="F91" i="13"/>
  <c r="N90" i="13"/>
  <c r="K51" i="13"/>
  <c r="H76" i="13"/>
  <c r="F84" i="13"/>
  <c r="M84" i="13"/>
  <c r="G51" i="13"/>
  <c r="G86" i="13"/>
  <c r="M66" i="13"/>
  <c r="J71" i="13"/>
  <c r="J60" i="13"/>
  <c r="K47" i="13"/>
  <c r="F49" i="13"/>
  <c r="N52" i="13"/>
  <c r="F79" i="13"/>
  <c r="I60" i="13"/>
  <c r="M73" i="13"/>
  <c r="G63" i="13"/>
  <c r="K63" i="13"/>
  <c r="J51" i="13"/>
  <c r="F60" i="13"/>
  <c r="M64" i="13"/>
  <c r="E91" i="13"/>
  <c r="L77" i="13"/>
  <c r="J73" i="13"/>
  <c r="G76" i="13"/>
  <c r="L87" i="13"/>
  <c r="I71" i="13"/>
  <c r="H48" i="13"/>
  <c r="I87" i="13"/>
  <c r="M45" i="13"/>
  <c r="I90" i="13"/>
  <c r="K60" i="13"/>
  <c r="N47" i="13"/>
  <c r="F92" i="13"/>
  <c r="I51" i="13"/>
  <c r="M85" i="13"/>
  <c r="N73" i="13"/>
  <c r="E77" i="13"/>
  <c r="M47" i="13"/>
  <c r="G84" i="13"/>
  <c r="E48" i="13"/>
  <c r="M87" i="13"/>
  <c r="G74" i="13"/>
  <c r="J66" i="13"/>
  <c r="H91" i="13"/>
  <c r="F47" i="13"/>
  <c r="G48" i="13"/>
  <c r="G88" i="13"/>
  <c r="I63" i="13"/>
  <c r="K45" i="13"/>
  <c r="K79" i="13"/>
  <c r="K66" i="13"/>
  <c r="N51" i="13"/>
  <c r="H71" i="13"/>
  <c r="J45" i="13"/>
  <c r="J91" i="13"/>
  <c r="L73" i="13"/>
  <c r="J48" i="13"/>
  <c r="I76" i="13"/>
  <c r="N50" i="13"/>
  <c r="I88" i="13"/>
  <c r="E92" i="13"/>
  <c r="E59" i="13"/>
  <c r="K73" i="13"/>
  <c r="J47" i="13"/>
  <c r="H85" i="13"/>
  <c r="L90" i="13"/>
  <c r="M60" i="13"/>
  <c r="K90" i="13"/>
  <c r="G66" i="13"/>
  <c r="F45" i="13"/>
  <c r="K87" i="13"/>
  <c r="M71" i="13"/>
  <c r="J87" i="13"/>
  <c r="F63" i="13"/>
  <c r="I79" i="13"/>
  <c r="J84" i="13"/>
  <c r="N76" i="13"/>
  <c r="I84" i="13"/>
  <c r="N59" i="13"/>
  <c r="F85" i="13"/>
  <c r="M63" i="13"/>
  <c r="H79" i="13"/>
  <c r="L45" i="13"/>
  <c r="N78" i="13"/>
  <c r="N63" i="13"/>
  <c r="L71" i="13"/>
  <c r="G91" i="13"/>
  <c r="H51" i="13"/>
  <c r="F76" i="13"/>
  <c r="F74" i="13"/>
  <c r="E74" i="13"/>
  <c r="F88" i="13"/>
  <c r="L47" i="13"/>
  <c r="H73" i="13"/>
  <c r="K71" i="13"/>
  <c r="K76" i="13"/>
  <c r="H66" i="13"/>
  <c r="G62" i="9"/>
  <c r="G66" i="9" s="1" a="1"/>
  <c r="G66" i="9" s="1"/>
  <c r="G30" i="9" a="1"/>
  <c r="G30" i="9" s="1"/>
  <c r="G19" i="12"/>
  <c r="G31" i="12" s="1" a="1"/>
  <c r="G31" i="12" s="1"/>
  <c r="G66" i="12" a="1"/>
  <c r="G66" i="12" s="1"/>
  <c r="G63" i="12" a="1"/>
  <c r="G63" i="12" s="1"/>
  <c r="G54" i="12" a="1"/>
  <c r="G54" i="12" s="1"/>
  <c r="G56" i="12" s="1" a="1"/>
  <c r="G56" i="12" s="1"/>
  <c r="G58" i="12" s="1" a="1"/>
  <c r="G58" i="12" s="1"/>
  <c r="E302" i="9" a="1"/>
  <c r="E302" i="9" s="1"/>
  <c r="E289" i="9" a="1"/>
  <c r="E289" i="9" s="1"/>
  <c r="E276" i="9" a="1"/>
  <c r="E276" i="9" s="1"/>
  <c r="E263" i="9" a="1"/>
  <c r="E263" i="9" s="1"/>
  <c r="E315" i="9" a="1"/>
  <c r="E315" i="9" s="1"/>
  <c r="E31" i="9" a="1"/>
  <c r="E31" i="9" s="1"/>
  <c r="E35" i="9" a="1"/>
  <c r="E35" i="9" s="1"/>
  <c r="E140" i="9" a="1"/>
  <c r="E140" i="9" s="1"/>
  <c r="E88" i="9" a="1"/>
  <c r="A1" i="3"/>
  <c r="A1" i="4"/>
  <c r="E119" i="13" a="1"/>
  <c r="E119" i="13" l="1"/>
  <c r="E127" i="13" a="1"/>
  <c r="E127" i="13" s="1"/>
  <c r="E126" i="13" a="1"/>
  <c r="E126" i="13" s="1"/>
  <c r="E128" i="13" a="1"/>
  <c r="E128" i="13" s="1"/>
  <c r="E45" i="13"/>
  <c r="E71" i="13"/>
  <c r="E84" i="13"/>
  <c r="E58" i="13"/>
  <c r="E88" i="9"/>
  <c r="G31" i="9" a="1"/>
  <c r="G31" i="9" s="1"/>
  <c r="G75" i="12" a="1"/>
  <c r="G75" i="12" s="1"/>
  <c r="G78" i="12" a="1"/>
  <c r="G78" i="12" s="1"/>
  <c r="G69" i="12" a="1"/>
  <c r="G69" i="12" s="1"/>
  <c r="G72" i="12" a="1"/>
  <c r="G72" i="12" s="1"/>
  <c r="G12" i="9" a="1"/>
  <c r="E99" i="9" a="1"/>
  <c r="E99" i="9" s="1"/>
  <c r="A1" i="2"/>
  <c r="A1" i="6"/>
  <c r="A1" i="5"/>
  <c r="A1" i="9"/>
  <c r="C6" i="9" s="1"/>
  <c r="B6" i="9"/>
  <c r="G12" i="9" l="1"/>
  <c r="G211" i="9" s="1" a="1"/>
  <c r="G211" i="9" s="1"/>
  <c r="G224" i="9" a="1"/>
  <c r="G224" i="9" s="1"/>
  <c r="G276" i="9" a="1"/>
  <c r="G276" i="9" s="1"/>
  <c r="G35" i="9" a="1"/>
  <c r="G125" i="9" a="1"/>
  <c r="G125" i="9" s="1"/>
  <c r="G263" i="9" a="1"/>
  <c r="G263" i="9" s="1"/>
  <c r="G88" i="9" a="1"/>
  <c r="G108" i="9" s="1" a="1"/>
  <c r="G108" i="9" s="1"/>
  <c r="G160" i="9" a="1"/>
  <c r="G160" i="9" s="1"/>
  <c r="G173" i="9" s="1" a="1"/>
  <c r="G173" i="9" s="1"/>
  <c r="E173" i="9" a="1"/>
  <c r="E173" i="9" s="1"/>
  <c r="J9" i="6"/>
  <c r="K9" i="6" s="1"/>
  <c r="L9" i="6" s="1"/>
  <c r="M9" i="6" s="1"/>
  <c r="H21" i="6"/>
  <c r="H15" i="6"/>
  <c r="I19" i="6" s="1"/>
  <c r="G44" i="9" l="1" a="1"/>
  <c r="G44" i="9" s="1"/>
  <c r="G132" i="9" a="1"/>
  <c r="G132" i="9" s="1"/>
  <c r="G88" i="9"/>
  <c r="G53" i="9" a="1"/>
  <c r="G53" i="9" s="1"/>
  <c r="G35" i="9"/>
  <c r="G289" i="9" a="1"/>
  <c r="G289" i="9" s="1"/>
  <c r="G315" i="9" a="1"/>
  <c r="G315" i="9" s="1"/>
  <c r="G302" i="9" a="1"/>
  <c r="G302" i="9" s="1"/>
  <c r="G198" i="9" a="1"/>
  <c r="L199" i="9" s="1"/>
  <c r="G236" i="9" a="1"/>
  <c r="G236" i="9" s="1"/>
  <c r="G140" i="9" a="1"/>
  <c r="E248" i="9" a="1"/>
  <c r="E248" i="9" s="1"/>
  <c r="E236" i="9" a="1"/>
  <c r="E236" i="9" s="1"/>
  <c r="E224" i="9" a="1"/>
  <c r="E224" i="9" s="1"/>
  <c r="N9" i="6"/>
  <c r="J6" i="6"/>
  <c r="J7" i="6" s="1"/>
  <c r="G48" i="9" l="1" a="1"/>
  <c r="G48" i="9" s="1"/>
  <c r="G99" i="9" a="1"/>
  <c r="G99" i="9" s="1"/>
  <c r="G57" i="9" a="1"/>
  <c r="G57" i="9" s="1"/>
  <c r="G75" i="9" a="1"/>
  <c r="G75" i="9" s="1"/>
  <c r="G39" i="9" a="1"/>
  <c r="G39" i="9" s="1"/>
  <c r="N199" i="9"/>
  <c r="O201" i="9"/>
  <c r="J202" i="9"/>
  <c r="G140" i="9"/>
  <c r="G151" i="9" a="1"/>
  <c r="L200" i="9"/>
  <c r="K200" i="9"/>
  <c r="L203" i="9"/>
  <c r="J200" i="9"/>
  <c r="J203" i="9"/>
  <c r="K206" i="9"/>
  <c r="I205" i="9"/>
  <c r="N205" i="9"/>
  <c r="O205" i="9"/>
  <c r="H204" i="9"/>
  <c r="M204" i="9"/>
  <c r="J199" i="9"/>
  <c r="I199" i="9"/>
  <c r="N198" i="9"/>
  <c r="N202" i="9"/>
  <c r="L204" i="9"/>
  <c r="O202" i="9"/>
  <c r="J198" i="9"/>
  <c r="H205" i="9"/>
  <c r="G198" i="9"/>
  <c r="P203" i="9"/>
  <c r="K203" i="9"/>
  <c r="I200" i="9"/>
  <c r="I206" i="9"/>
  <c r="O206" i="9"/>
  <c r="M201" i="9"/>
  <c r="H202" i="9"/>
  <c r="H199" i="9"/>
  <c r="I202" i="9"/>
  <c r="N203" i="9"/>
  <c r="K201" i="9"/>
  <c r="M205" i="9"/>
  <c r="J206" i="9"/>
  <c r="P200" i="9"/>
  <c r="L205" i="9"/>
  <c r="P206" i="9"/>
  <c r="I203" i="9"/>
  <c r="H203" i="9"/>
  <c r="O203" i="9"/>
  <c r="G201" i="9"/>
  <c r="P198" i="9"/>
  <c r="P204" i="9"/>
  <c r="K204" i="9"/>
  <c r="L201" i="9"/>
  <c r="N206" i="9"/>
  <c r="G199" i="9"/>
  <c r="O199" i="9"/>
  <c r="J201" i="9"/>
  <c r="G205" i="9"/>
  <c r="L202" i="9"/>
  <c r="L198" i="9"/>
  <c r="G202" i="9"/>
  <c r="J204" i="9"/>
  <c r="G204" i="9"/>
  <c r="G206" i="9"/>
  <c r="G203" i="9"/>
  <c r="K205" i="9"/>
  <c r="O198" i="9"/>
  <c r="O200" i="9"/>
  <c r="H206" i="9"/>
  <c r="I204" i="9"/>
  <c r="M203" i="9"/>
  <c r="K199" i="9"/>
  <c r="M200" i="9"/>
  <c r="N204" i="9"/>
  <c r="M199" i="9"/>
  <c r="H200" i="9"/>
  <c r="P201" i="9"/>
  <c r="M198" i="9"/>
  <c r="K202" i="9"/>
  <c r="M202" i="9"/>
  <c r="I198" i="9"/>
  <c r="I201" i="9"/>
  <c r="L206" i="9"/>
  <c r="J205" i="9"/>
  <c r="H201" i="9"/>
  <c r="K198" i="9"/>
  <c r="O204" i="9"/>
  <c r="N200" i="9"/>
  <c r="P202" i="9"/>
  <c r="P205" i="9"/>
  <c r="N201" i="9"/>
  <c r="H198" i="9"/>
  <c r="P199" i="9"/>
  <c r="M206" i="9"/>
  <c r="G200" i="9"/>
  <c r="J5" i="6"/>
  <c r="K6" i="6"/>
  <c r="K7" i="6" s="1"/>
  <c r="G151" i="9" l="1"/>
  <c r="I153" i="9"/>
  <c r="H153" i="9"/>
  <c r="I152" i="9"/>
  <c r="G153" i="9"/>
  <c r="P152" i="9"/>
  <c r="J152" i="9"/>
  <c r="K153" i="9"/>
  <c r="M151" i="9"/>
  <c r="O153" i="9"/>
  <c r="M152" i="9"/>
  <c r="K151" i="9"/>
  <c r="N152" i="9"/>
  <c r="J151" i="9"/>
  <c r="L152" i="9"/>
  <c r="P153" i="9"/>
  <c r="J153" i="9"/>
  <c r="O152" i="9"/>
  <c r="N153" i="9"/>
  <c r="L151" i="9"/>
  <c r="K152" i="9"/>
  <c r="M153" i="9"/>
  <c r="H152" i="9"/>
  <c r="I151" i="9"/>
  <c r="O151" i="9"/>
  <c r="G152" i="9"/>
  <c r="H151" i="9"/>
  <c r="N151" i="9"/>
  <c r="P151" i="9"/>
  <c r="L153" i="9"/>
  <c r="K5" i="6"/>
  <c r="L6" i="6"/>
  <c r="L7" i="6" s="1"/>
  <c r="L5" i="6" l="1"/>
  <c r="M6" i="6"/>
  <c r="M7" i="6" s="1"/>
  <c r="M5" i="6" l="1"/>
  <c r="N6" i="6"/>
  <c r="N7" i="6" s="1"/>
  <c r="N5" i="6" s="1"/>
  <c r="B11" i="6" l="1"/>
  <c r="I37" i="4" l="1"/>
  <c r="E17" i="5" l="1"/>
  <c r="I17" i="5"/>
  <c r="G4" i="9" s="1"/>
  <c r="B6" i="5"/>
  <c r="K74" i="4"/>
  <c r="K72" i="4"/>
  <c r="K70" i="4"/>
  <c r="I70" i="4"/>
  <c r="K68" i="4"/>
  <c r="I68" i="4"/>
  <c r="K66" i="4"/>
  <c r="K64" i="4"/>
  <c r="K62" i="4"/>
  <c r="K60" i="4"/>
  <c r="K53" i="4"/>
  <c r="K51" i="4"/>
  <c r="K49" i="4"/>
  <c r="I47" i="4"/>
  <c r="K45" i="4"/>
  <c r="K43" i="4"/>
  <c r="K41" i="4"/>
  <c r="I41" i="4"/>
  <c r="I49" i="4" s="1"/>
  <c r="K37" i="4"/>
  <c r="K35" i="4"/>
  <c r="K33" i="4"/>
  <c r="K31" i="4"/>
  <c r="K29" i="4"/>
  <c r="I29" i="4"/>
  <c r="K27" i="4"/>
  <c r="I20" i="4"/>
  <c r="I18" i="4"/>
  <c r="I16" i="4"/>
  <c r="I15" i="4"/>
  <c r="I14" i="4"/>
  <c r="I13" i="4"/>
  <c r="I11" i="4"/>
  <c r="I10" i="4"/>
  <c r="B6" i="4"/>
  <c r="B23" i="4" s="1"/>
  <c r="C5" i="1"/>
  <c r="G11" i="2"/>
  <c r="B6" i="2"/>
  <c r="B15" i="2" s="1"/>
  <c r="A2" i="12" l="1"/>
  <c r="A2" i="13"/>
  <c r="F4" i="5"/>
  <c r="I4" i="2"/>
  <c r="A2" i="9"/>
  <c r="G4" i="3"/>
  <c r="F4" i="6"/>
  <c r="A2" i="6"/>
  <c r="I4" i="4"/>
  <c r="A2" i="2"/>
  <c r="A2" i="5"/>
  <c r="B56" i="4"/>
  <c r="A2" i="4"/>
  <c r="A2" i="3"/>
  <c r="C6" i="1"/>
  <c r="J8" i="6"/>
  <c r="K8" i="6"/>
  <c r="L8" i="6"/>
  <c r="M8" i="6"/>
  <c r="N8" i="6"/>
  <c r="G248" i="9" a="1"/>
  <c r="G248" i="9" s="1"/>
  <c r="G107" i="13" a="1"/>
  <c r="G112" i="13" a="1"/>
  <c r="I106" i="13" a="1"/>
  <c r="N114" i="13" a="1"/>
  <c r="E106" i="13" a="1"/>
  <c r="N107" i="13" a="1"/>
  <c r="I113" i="13" a="1"/>
  <c r="M112" i="13" a="1"/>
  <c r="E105" i="13" a="1"/>
  <c r="J107" i="13" a="1"/>
  <c r="J113" i="13" a="1"/>
  <c r="H112" i="13" a="1"/>
  <c r="M105" i="13" a="1"/>
  <c r="I112" i="13" a="1"/>
  <c r="N113" i="13" a="1"/>
  <c r="E113" i="13" a="1"/>
  <c r="G105" i="13" a="1"/>
  <c r="E107" i="13" a="1"/>
  <c r="J106" i="13" a="1"/>
  <c r="H114" i="13" a="1"/>
  <c r="I105" i="13" a="1"/>
  <c r="K106" i="13" a="1"/>
  <c r="G114" i="13" a="1"/>
  <c r="M107" i="13" a="1"/>
  <c r="F105" i="13" a="1"/>
  <c r="H105" i="13" a="1"/>
  <c r="N112" i="13" a="1"/>
  <c r="G106" i="13" a="1"/>
  <c r="L107" i="13" a="1"/>
  <c r="G113" i="13" a="1"/>
  <c r="J105" i="13" a="1"/>
  <c r="F106" i="13" a="1"/>
  <c r="I114" i="13" a="1"/>
  <c r="F114" i="13" a="1"/>
  <c r="J112" i="13" a="1"/>
  <c r="L105" i="13" a="1"/>
  <c r="K105" i="13" a="1"/>
  <c r="L114" i="13" a="1"/>
  <c r="N106" i="13" a="1"/>
  <c r="F113" i="13" a="1"/>
  <c r="I107" i="13" a="1"/>
  <c r="H106" i="13" a="1"/>
  <c r="H113" i="13" a="1"/>
  <c r="K112" i="13" a="1"/>
  <c r="N105" i="13" a="1"/>
  <c r="H107" i="13" a="1"/>
  <c r="L113" i="13" a="1"/>
  <c r="L112" i="13" a="1"/>
  <c r="M106" i="13" a="1"/>
  <c r="J114" i="13" a="1"/>
  <c r="E114" i="13" a="1"/>
  <c r="M114" i="13" a="1"/>
  <c r="F112" i="13" a="1"/>
  <c r="K113" i="13" a="1"/>
  <c r="M113" i="13" a="1"/>
  <c r="F107" i="13" a="1"/>
  <c r="E112" i="13" a="1"/>
  <c r="K114" i="13" a="1"/>
  <c r="L106" i="13" a="1"/>
  <c r="K107" i="13" a="1"/>
  <c r="H113" i="13" l="1"/>
  <c r="N106" i="13"/>
  <c r="F113" i="13"/>
  <c r="M105" i="13"/>
  <c r="H107" i="13"/>
  <c r="K114" i="13"/>
  <c r="I107" i="13"/>
  <c r="N105" i="13"/>
  <c r="N112" i="13"/>
  <c r="K105" i="13"/>
  <c r="K112" i="13"/>
  <c r="J112" i="13"/>
  <c r="H112" i="13"/>
  <c r="G107" i="13"/>
  <c r="E105" i="13"/>
  <c r="E106" i="13"/>
  <c r="E113" i="13"/>
  <c r="J105" i="13"/>
  <c r="I105" i="13"/>
  <c r="F107" i="13"/>
  <c r="E107" i="13"/>
  <c r="J106" i="13"/>
  <c r="I106" i="13"/>
  <c r="G113" i="13"/>
  <c r="G105" i="13"/>
  <c r="E112" i="13"/>
  <c r="M112" i="13"/>
  <c r="L112" i="13"/>
  <c r="H105" i="13"/>
  <c r="I112" i="13"/>
  <c r="F105" i="13"/>
  <c r="G112" i="13"/>
  <c r="F112" i="13"/>
  <c r="G114" i="13"/>
  <c r="L106" i="13"/>
  <c r="K106" i="13"/>
  <c r="N113" i="13"/>
  <c r="L113" i="13"/>
  <c r="L107" i="13"/>
  <c r="J113" i="13"/>
  <c r="M114" i="13"/>
  <c r="G106" i="13"/>
  <c r="I113" i="13"/>
  <c r="F106" i="13"/>
  <c r="J114" i="13"/>
  <c r="I114" i="13"/>
  <c r="L105" i="13"/>
  <c r="H114" i="13"/>
  <c r="M106" i="13"/>
  <c r="F114" i="13"/>
  <c r="E114" i="13"/>
  <c r="N107" i="13"/>
  <c r="M113" i="13"/>
  <c r="M107" i="13"/>
  <c r="K113" i="13"/>
  <c r="N114" i="13"/>
  <c r="H106" i="13"/>
  <c r="K107" i="13"/>
  <c r="J107" i="13"/>
  <c r="L114" i="1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<sst xmlns="http://schemas.openxmlformats.org/spreadsheetml/2006/main" count="302" uniqueCount="213">
  <si>
    <t>Navigator</t>
  </si>
  <si>
    <t>Primary Developer:  Sam Ngo</t>
  </si>
  <si>
    <t>General Cover Notes:</t>
  </si>
  <si>
    <t>Simple matrix manipulation.</t>
  </si>
  <si>
    <t>Any queries, please e-mail:</t>
  </si>
  <si>
    <t>sam.ngo@sumproduct.com</t>
  </si>
  <si>
    <t>Website:</t>
  </si>
  <si>
    <t>www.sumproduct.com</t>
  </si>
  <si>
    <t>Error Checks:</t>
  </si>
  <si>
    <t>Table of Contents</t>
  </si>
  <si>
    <t>Cover</t>
  </si>
  <si>
    <t>Style Guide</t>
  </si>
  <si>
    <t>Model Parameters</t>
  </si>
  <si>
    <t>Timing</t>
  </si>
  <si>
    <t>Error Checks</t>
  </si>
  <si>
    <t>Formatting of Headers / Dividers</t>
  </si>
  <si>
    <t>Description</t>
  </si>
  <si>
    <t>Display</t>
  </si>
  <si>
    <t>Style Name</t>
  </si>
  <si>
    <t>Sheet Title</t>
  </si>
  <si>
    <t>Model Name</t>
  </si>
  <si>
    <t>Header 1</t>
  </si>
  <si>
    <t>Header 2</t>
  </si>
  <si>
    <t>Header 3</t>
  </si>
  <si>
    <t>Header 4</t>
  </si>
  <si>
    <t>Notes</t>
  </si>
  <si>
    <t>Table Heading</t>
  </si>
  <si>
    <t>Individual Cell Styles</t>
  </si>
  <si>
    <t>Assumption</t>
  </si>
  <si>
    <t>Constraint</t>
  </si>
  <si>
    <t>Empty</t>
  </si>
  <si>
    <t>Error Check</t>
  </si>
  <si>
    <t>Hyperlink</t>
  </si>
  <si>
    <t>Internal Reference</t>
  </si>
  <si>
    <t>Line Calculation</t>
  </si>
  <si>
    <t>Line Calc</t>
  </si>
  <si>
    <t>Line Total</t>
  </si>
  <si>
    <t>Parameter</t>
  </si>
  <si>
    <t>Range Name Description</t>
  </si>
  <si>
    <t>Not_Named</t>
  </si>
  <si>
    <t>Row Reference</t>
  </si>
  <si>
    <t>Row Ref</t>
  </si>
  <si>
    <t>Row Summary</t>
  </si>
  <si>
    <t>Units</t>
  </si>
  <si>
    <t>A$</t>
  </si>
  <si>
    <t>WIP</t>
  </si>
  <si>
    <t>Numerical Styles</t>
  </si>
  <si>
    <t>Comma</t>
  </si>
  <si>
    <t>Comma [0]</t>
  </si>
  <si>
    <t>Currency</t>
  </si>
  <si>
    <t>Currency [0]</t>
  </si>
  <si>
    <t>Date</t>
  </si>
  <si>
    <t>Date Heading</t>
  </si>
  <si>
    <t>Numbers 0</t>
  </si>
  <si>
    <t>Percent</t>
  </si>
  <si>
    <t>General</t>
  </si>
  <si>
    <t>Key Inputs</t>
  </si>
  <si>
    <t>Client Name</t>
  </si>
  <si>
    <t>SumProduct Pty Limited</t>
  </si>
  <si>
    <t>General Range Names</t>
  </si>
  <si>
    <t>Technical Assumptions</t>
  </si>
  <si>
    <t>Days in Year</t>
  </si>
  <si>
    <t>Months in Month</t>
  </si>
  <si>
    <t>Months in Quarter</t>
  </si>
  <si>
    <t>Months in Half Yr</t>
  </si>
  <si>
    <t>Months in Year</t>
  </si>
  <si>
    <t>Quarters in Year</t>
  </si>
  <si>
    <t>Rounding Accuracy</t>
  </si>
  <si>
    <t>Very Large Number</t>
  </si>
  <si>
    <t>Very Small Number</t>
  </si>
  <si>
    <t>Thousand</t>
  </si>
  <si>
    <t>Start Date</t>
  </si>
  <si>
    <t>End Date</t>
  </si>
  <si>
    <t>Number of Days</t>
  </si>
  <si>
    <t>Counter</t>
  </si>
  <si>
    <t>Timing Assumptions</t>
  </si>
  <si>
    <t>Data (do not change once modelling has commenced)</t>
  </si>
  <si>
    <t>Model Start Date</t>
  </si>
  <si>
    <t>Number of Months in a Full Period</t>
  </si>
  <si>
    <t>Example Reporting Month</t>
  </si>
  <si>
    <t>Reporting Month Factor</t>
  </si>
  <si>
    <t>Summary of Errors</t>
  </si>
  <si>
    <t>Assumptions</t>
  </si>
  <si>
    <t>Example</t>
  </si>
  <si>
    <t>Data</t>
  </si>
  <si>
    <t>Number of Period</t>
  </si>
  <si>
    <t>Period</t>
  </si>
  <si>
    <t>Items</t>
  </si>
  <si>
    <t>Cummulative Sum</t>
  </si>
  <si>
    <t>Helper Matrix</t>
  </si>
  <si>
    <t>MMULT SUM</t>
  </si>
  <si>
    <t>SUBTOTAL SUM</t>
  </si>
  <si>
    <t>Legacy SUM total</t>
  </si>
  <si>
    <t>Cummulative Product</t>
  </si>
  <si>
    <t>Log Matrix</t>
  </si>
  <si>
    <t>Cummulative Sum of Log</t>
  </si>
  <si>
    <t>Power of Exponential</t>
  </si>
  <si>
    <t>Cummulative Max, Min, Average and Count</t>
  </si>
  <si>
    <t>Helper Matrix 1</t>
  </si>
  <si>
    <t>Helper Matrix 2</t>
  </si>
  <si>
    <t>Cummulative Max</t>
  </si>
  <si>
    <t>Cummulative Min</t>
  </si>
  <si>
    <t>Cummulative Count</t>
  </si>
  <si>
    <t>Cummulative Average</t>
  </si>
  <si>
    <t>Row Total</t>
  </si>
  <si>
    <t>MMULT Total</t>
  </si>
  <si>
    <t>Total</t>
  </si>
  <si>
    <t>SUBTOTAL Total</t>
  </si>
  <si>
    <t>SUMIF Total</t>
  </si>
  <si>
    <t>SUMIFS Total</t>
  </si>
  <si>
    <t>Legacy SUM Total</t>
  </si>
  <si>
    <t>Cummulative Max, Min and Count</t>
  </si>
  <si>
    <t>1D Array</t>
  </si>
  <si>
    <t>MAP LAMBDA Total</t>
  </si>
  <si>
    <t>Provided by Oscar</t>
  </si>
  <si>
    <t>Provided by Kris</t>
  </si>
  <si>
    <t>MAKEARRAY LAMBDA Total</t>
  </si>
  <si>
    <t>Limit is 1,048,576  x 16,384 ~ Rows x Columns</t>
  </si>
  <si>
    <t>REDUCE BYCOL LAMBDA Total</t>
  </si>
  <si>
    <t>Sorted Matrix</t>
  </si>
  <si>
    <t>Doesn't work with 0 inside the array</t>
  </si>
  <si>
    <t>GROUPBY</t>
  </si>
  <si>
    <t>DROP REDUCE SUMIFS LAMBDA Total</t>
  </si>
  <si>
    <t>SUM</t>
  </si>
  <si>
    <t>AVERAGE</t>
  </si>
  <si>
    <t>PRODUCT</t>
  </si>
  <si>
    <t>AVERAGEA</t>
  </si>
  <si>
    <t>COUNT</t>
  </si>
  <si>
    <t>COUNTA</t>
  </si>
  <si>
    <t>HSTACK</t>
  </si>
  <si>
    <t>MAX</t>
  </si>
  <si>
    <t>MAXA</t>
  </si>
  <si>
    <t>MIN</t>
  </si>
  <si>
    <t>MINA</t>
  </si>
  <si>
    <t>STDEV</t>
  </si>
  <si>
    <t>STDEVA</t>
  </si>
  <si>
    <t>STDEVP</t>
  </si>
  <si>
    <t>STDEVPA</t>
  </si>
  <si>
    <t>VAR</t>
  </si>
  <si>
    <t>VARA</t>
  </si>
  <si>
    <t>VARP</t>
  </si>
  <si>
    <t>VARPA</t>
  </si>
  <si>
    <t>VSTACK</t>
  </si>
  <si>
    <t>TEXTJOIN</t>
  </si>
  <si>
    <t>List of Functions Support 3D</t>
  </si>
  <si>
    <t>AND</t>
  </si>
  <si>
    <t>The logical AND for any number of arguments.</t>
  </si>
  <si>
    <t>AVEDEV</t>
  </si>
  <si>
    <t>The average deviation for a list of numbers.</t>
  </si>
  <si>
    <t>The arithmetic mean of a list or array of numbers.</t>
  </si>
  <si>
    <t>The arithmetic mean of a list or array of numbers, including text and logical values.</t>
  </si>
  <si>
    <t>The number of cells with a numeric value in a list or cell range.</t>
  </si>
  <si>
    <t>The number of non blank cells in a list or cell range.</t>
  </si>
  <si>
    <t>DEVSQ</t>
  </si>
  <si>
    <t>The sum of squares of deviations of data points from their sample mean.</t>
  </si>
  <si>
    <t>LARGE</t>
  </si>
  <si>
    <t>The Kth largest value in an array of numbers.</t>
  </si>
  <si>
    <t>The largest value in a list or array of numbers.</t>
  </si>
  <si>
    <t>The largest value in a list or array of numbers, including text and logical values.</t>
  </si>
  <si>
    <t>MEDIAN</t>
  </si>
  <si>
    <t>The median of the numbers in a list or cell range.</t>
  </si>
  <si>
    <t>The smallest number in a list or range.</t>
  </si>
  <si>
    <t>The smallest number in a list or range, including text and logical values</t>
  </si>
  <si>
    <t>OR</t>
  </si>
  <si>
    <t>The logical OR for any number of arguments.</t>
  </si>
  <si>
    <t>PERCENTILE</t>
  </si>
  <si>
    <t>The Kth percentile of values in a range.</t>
  </si>
  <si>
    <t>The product of all the numbers in a list or cell range.</t>
  </si>
  <si>
    <t>QUARTILE</t>
  </si>
  <si>
    <t>The quartile of a data set.</t>
  </si>
  <si>
    <t>RANK</t>
  </si>
  <si>
    <t>The rank of a value in a range (in descending order).</t>
  </si>
  <si>
    <t>SKEW</t>
  </si>
  <si>
    <t>The number representing the skewness of a distribution.</t>
  </si>
  <si>
    <t>SMALL</t>
  </si>
  <si>
    <t>The Kth smallest value in an array of numbers.</t>
  </si>
  <si>
    <t>The standard deviation based on a sample.</t>
  </si>
  <si>
    <t>The standard deviation based on a sample, including text and logical values.</t>
  </si>
  <si>
    <t>The standard deviation based on an entire population.</t>
  </si>
  <si>
    <t>The standard deviation based on an entire population, including text and logical values.</t>
  </si>
  <si>
    <t>The total value of the numbers in a list or cell range.</t>
  </si>
  <si>
    <t>SUMSQ</t>
  </si>
  <si>
    <t>The sum of the squares of all the values in a list or cell range.</t>
  </si>
  <si>
    <t>TRIM</t>
  </si>
  <si>
    <t>The text string with all spaces removed from the beginning and end.</t>
  </si>
  <si>
    <t>The compound variance based upon the numerical values in the range.</t>
  </si>
  <si>
    <t>The variance based on an entire population.</t>
  </si>
  <si>
    <t>The variance based on an entire population, including text and logical values.</t>
  </si>
  <si>
    <t>SUMIFS INDIRECT</t>
  </si>
  <si>
    <t>2D Array</t>
  </si>
  <si>
    <t>Initial Idea: INDIRECT + SUMIFS</t>
  </si>
  <si>
    <t>CHOOSE + SUMIFS</t>
  </si>
  <si>
    <t>Sheet Name</t>
  </si>
  <si>
    <t>Scalar Result</t>
  </si>
  <si>
    <t>Scalar Result but with 2D Potential</t>
  </si>
  <si>
    <t>SUM SUMIFS INDIRECT</t>
  </si>
  <si>
    <t>SUMPRODUCT SUMIFS INDIRECT</t>
  </si>
  <si>
    <t>REDUCE SUMIFS INDIRECT</t>
  </si>
  <si>
    <t>1D Result</t>
  </si>
  <si>
    <t>1D Result but no Expand Potential</t>
  </si>
  <si>
    <t>A</t>
  </si>
  <si>
    <t>B</t>
  </si>
  <si>
    <t>C</t>
  </si>
  <si>
    <t>MMULT</t>
  </si>
  <si>
    <t>2D Result but no Expand Potential</t>
  </si>
  <si>
    <t>Helper Explain Calc</t>
  </si>
  <si>
    <t>Start Position</t>
  </si>
  <si>
    <t>Height</t>
  </si>
  <si>
    <t>This setup allow to create range within a cell.</t>
  </si>
  <si>
    <r>
      <t xml:space="preserve">This is the reason why we need to sort the categories set up first before proceed with </t>
    </r>
    <r>
      <rPr>
        <b/>
        <sz val="9"/>
        <color theme="1"/>
        <rFont val="Arial"/>
        <family val="2"/>
      </rPr>
      <t>SUBTOTAL OFFSET</t>
    </r>
  </si>
  <si>
    <t>SUBTOTAL then loop through each cell then sum the value within 1 cell.</t>
  </si>
  <si>
    <t>3D Array</t>
  </si>
  <si>
    <t>4D Array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</si>
</sst>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0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164" formatCode="&quot;ý&quot;;&quot;ý&quot;;&quot;þ&quot;"/>
    <numFmt numFmtId="165" formatCode="#,##0&quot;.&quot;"/>
    <numFmt numFmtId="166" formatCode="0.E+00"/>
    <numFmt numFmtId="167" formatCode=";;;"/>
    <numFmt numFmtId="168" formatCode="_(#,##0_);[Red]\(#,##0\);_(\-_);"/>
    <numFmt numFmtId="169" formatCode="_(&quot;$&quot;#,##0.0_);\(&quot;$&quot;#,##0.0\);_(&quot;-&quot;_)"/>
    <numFmt numFmtId="170" formatCode="_(#,##0.0_);\(#,##0.0\);_(&quot;-&quot;_)"/>
    <numFmt numFmtId="171" formatCode="&quot;Row &quot;###0"/>
    <numFmt numFmtId="172" formatCode="#,##0."/>
    <numFmt numFmtId="173" formatCode="_(#,##0_);\(#,##0\);_(\-_)"/>
    <numFmt numFmtId="174" formatCode="_(#,##0.00_);\(#,##0.00\);_(\-_._0_0_)"/>
    <numFmt numFmtId="175" formatCode="&quot;$&quot;* _(#,##0.00_);&quot;$&quot;* \(#,##0.00\);&quot;$&quot;* _(\-_._0_0_)"/>
    <numFmt numFmtId="176" formatCode="&quot;$&quot;* _(#,##0_);&quot;$&quot;* \(#,##0\);&quot;$&quot;* _(\-_)"/>
    <numFmt numFmtId="177" formatCode="[$-C09]dd\ mmm\ yy;@"/>
    <numFmt numFmtId="178" formatCode="mmm\ yy"/>
    <numFmt numFmtId="179" formatCode="[$-C09]d\ mmm\ yy;@"/>
    <numFmt numFmtId="180" formatCode="_(#,##0.00_);[Red]\(#,##0.00\);_(\-_)"/>
  </numFmts>
  <fonts count="32" x14ac:knownFonts="1">
    <font>
      <sz val="9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Wingdings"/>
      <charset val="2"/>
    </font>
    <font>
      <i/>
      <sz val="11"/>
      <color theme="0" tint="-0.34998626667073579"/>
      <name val="Calibri"/>
      <family val="2"/>
      <scheme val="minor"/>
    </font>
    <font>
      <b/>
      <u/>
      <sz val="8"/>
      <color indexed="56"/>
      <name val="Arial"/>
      <family val="2"/>
    </font>
    <font>
      <sz val="1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8"/>
      <name val="Arial"/>
      <family val="2"/>
    </font>
    <font>
      <sz val="10"/>
      <color theme="1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0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0"/>
      <name val="Arial"/>
      <family val="2"/>
    </font>
    <font>
      <b/>
      <sz val="16"/>
      <color theme="8" tint="-0.499984740745262"/>
      <name val="Arial"/>
      <family val="2"/>
    </font>
    <font>
      <sz val="14"/>
      <color theme="8" tint="-0.499984740745262"/>
      <name val="Arial"/>
      <family val="2"/>
    </font>
    <font>
      <b/>
      <sz val="12"/>
      <color theme="0"/>
      <name val="Arial"/>
      <family val="2"/>
    </font>
    <font>
      <b/>
      <sz val="13"/>
      <color theme="8" tint="-0.499984740745262"/>
      <name val="Arial"/>
      <family val="2"/>
    </font>
    <font>
      <b/>
      <sz val="11"/>
      <color theme="1"/>
      <name val="Arial"/>
      <family val="2"/>
    </font>
    <font>
      <b/>
      <sz val="11"/>
      <color theme="3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sz val="18"/>
      <color theme="3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theme="8" tint="-0.499984740745262"/>
      <name val="Arial"/>
      <family val="2"/>
    </font>
    <font>
      <sz val="9"/>
      <color theme="0" tint="-0.499984740745262"/>
      <name val="Arial"/>
      <family val="2"/>
    </font>
    <font>
      <b/>
      <u/>
      <sz val="9"/>
      <color theme="1"/>
      <name val="Arial"/>
      <family val="2"/>
    </font>
    <font>
      <sz val="9"/>
      <name val="Arial"/>
      <family val="2"/>
    </font>
    <font>
      <i/>
      <sz val="9"/>
      <color theme="8" tint="-0.499984740745262"/>
      <name val="Arial"/>
      <family val="2"/>
    </font>
    <font>
      <sz val="9"/>
      <color theme="8" tint="0.39988402966399123"/>
      <name val="Arial"/>
      <family val="2"/>
    </font>
    <font>
      <sz val="9"/>
      <color rgb="FFFF0000"/>
      <name val="Arial"/>
      <family val="2"/>
    </font>
    <font>
      <i/>
      <sz val="8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gray125">
        <fgColor theme="8" tint="-0.499984740745262"/>
        <bgColor theme="8" tint="0.59996337778862885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1">
    <xf numFmtId="0" fontId="0" fillId="0" borderId="0"/>
    <xf numFmtId="174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3" fillId="0" borderId="0" applyNumberFormat="0" applyFill="0" applyBorder="0" applyProtection="0"/>
    <xf numFmtId="0" fontId="26" fillId="0" borderId="0" applyNumberFormat="0" applyFill="0" applyBorder="0">
      <alignment horizontal="left"/>
      <protection locked="0"/>
    </xf>
    <xf numFmtId="0" fontId="14" fillId="0" borderId="0" applyNumberFormat="0" applyFill="0" applyBorder="0" applyProtection="0"/>
    <xf numFmtId="0" fontId="15" fillId="3" borderId="1" applyNumberFormat="0" applyProtection="0"/>
    <xf numFmtId="0" fontId="16" fillId="0" borderId="0" applyNumberFormat="0" applyFill="0" applyAlignment="0" applyProtection="0"/>
    <xf numFmtId="0" fontId="17" fillId="0" borderId="0" applyNumberFormat="0" applyFill="0" applyAlignment="0" applyProtection="0"/>
    <xf numFmtId="0" fontId="25" fillId="0" borderId="3" applyNumberFormat="0" applyAlignment="0">
      <alignment horizontal="center"/>
    </xf>
    <xf numFmtId="0" fontId="24" fillId="4" borderId="4" applyNumberFormat="0" applyAlignment="0">
      <protection locked="0"/>
    </xf>
    <xf numFmtId="0" fontId="3" fillId="0" borderId="0" applyNumberFormat="0" applyFill="0" applyBorder="0"/>
    <xf numFmtId="179" fontId="22" fillId="0" borderId="0" applyFill="0" applyBorder="0" applyProtection="0">
      <alignment horizontal="center"/>
    </xf>
    <xf numFmtId="178" fontId="23" fillId="0" borderId="0" applyFill="0" applyBorder="0" applyProtection="0">
      <alignment horizontal="center"/>
    </xf>
    <xf numFmtId="167" fontId="1" fillId="5" borderId="4" applyAlignment="0"/>
    <xf numFmtId="164" fontId="2" fillId="2" borderId="2">
      <alignment horizontal="center"/>
      <protection locked="0"/>
    </xf>
    <xf numFmtId="0" fontId="4" fillId="0" borderId="0" applyFill="0" applyBorder="0">
      <alignment horizontal="left" vertical="center"/>
      <protection locked="0"/>
    </xf>
    <xf numFmtId="41" fontId="27" fillId="6" borderId="5" applyNumberFormat="0" applyAlignment="0"/>
    <xf numFmtId="41" fontId="1" fillId="0" borderId="6" applyNumberFormat="0" applyFont="0" applyFill="0" applyAlignment="0"/>
    <xf numFmtId="168" fontId="1" fillId="0" borderId="7" applyNumberFormat="0" applyFont="0" applyFill="0" applyAlignment="0" applyProtection="0"/>
    <xf numFmtId="0" fontId="31" fillId="0" borderId="8" applyNumberFormat="0" applyFill="0" applyBorder="0"/>
    <xf numFmtId="168" fontId="1" fillId="0" borderId="0" applyFont="0" applyFill="0" applyBorder="0" applyAlignment="0" applyProtection="0"/>
    <xf numFmtId="0" fontId="25" fillId="7" borderId="2" applyNumberFormat="0" applyAlignment="0" applyProtection="0"/>
    <xf numFmtId="0" fontId="6" fillId="0" borderId="0" applyNumberFormat="0" applyFill="0" applyBorder="0" applyAlignment="0" applyProtection="0"/>
    <xf numFmtId="169" fontId="7" fillId="0" borderId="0" applyFill="0" applyBorder="0">
      <alignment horizontal="right" vertical="center"/>
    </xf>
    <xf numFmtId="170" fontId="7" fillId="0" borderId="0" applyFill="0" applyBorder="0">
      <alignment horizontal="right" vertical="center"/>
    </xf>
    <xf numFmtId="171" fontId="28" fillId="7" borderId="4">
      <alignment horizontal="center"/>
    </xf>
    <xf numFmtId="41" fontId="5" fillId="8" borderId="5" applyFont="0" applyAlignment="0"/>
    <xf numFmtId="0" fontId="12" fillId="11" borderId="0" applyNumberFormat="0">
      <alignment horizontal="center"/>
    </xf>
    <xf numFmtId="0" fontId="29" fillId="0" borderId="0" applyNumberFormat="0" applyFill="0" applyBorder="0" applyProtection="0"/>
    <xf numFmtId="0" fontId="30" fillId="9" borderId="9" applyNumberFormat="0" applyAlignment="0">
      <protection locked="0"/>
    </xf>
    <xf numFmtId="0" fontId="21" fillId="0" borderId="0" applyNumberFormat="0" applyFill="0" applyBorder="0" applyAlignment="0" applyProtection="0"/>
    <xf numFmtId="0" fontId="19" fillId="0" borderId="1" applyNumberFormat="0" applyFill="0" applyAlignment="0" applyProtection="0"/>
    <xf numFmtId="0" fontId="20" fillId="0" borderId="10" applyNumberFormat="0" applyFill="0" applyAlignment="0" applyProtection="0"/>
    <xf numFmtId="0" fontId="18" fillId="0" borderId="11" applyNumberFormat="0" applyFill="0" applyAlignment="0" applyProtection="0"/>
    <xf numFmtId="0" fontId="17" fillId="0" borderId="12" applyNumberFormat="0" applyFill="0" applyAlignment="0" applyProtection="0"/>
    <xf numFmtId="172" fontId="15" fillId="3" borderId="1"/>
  </cellStyleXfs>
  <cellXfs count="65">
    <xf numFmtId="0" fontId="0" fillId="0" borderId="0" xfId="0"/>
    <xf numFmtId="164" fontId="2" fillId="2" borderId="2" xfId="0" applyNumberFormat="1" applyFont="1" applyFill="1" applyBorder="1" applyAlignment="1" applyProtection="1">
      <alignment horizontal="center"/>
      <protection locked="0"/>
    </xf>
    <xf numFmtId="0" fontId="15" fillId="3" borderId="1" xfId="10"/>
    <xf numFmtId="0" fontId="16" fillId="0" borderId="0" xfId="11"/>
    <xf numFmtId="0" fontId="17" fillId="0" borderId="0" xfId="12"/>
    <xf numFmtId="0" fontId="25" fillId="0" borderId="3" xfId="13" applyAlignment="1">
      <alignment horizontal="center"/>
    </xf>
    <xf numFmtId="166" fontId="25" fillId="0" borderId="3" xfId="13" applyNumberFormat="1" applyAlignment="1">
      <alignment horizontal="center"/>
    </xf>
    <xf numFmtId="0" fontId="8" fillId="0" borderId="0" xfId="0" applyFont="1"/>
    <xf numFmtId="0" fontId="9" fillId="0" borderId="0" xfId="12" applyFont="1" applyAlignment="1">
      <alignment horizontal="left" vertical="center"/>
    </xf>
    <xf numFmtId="0" fontId="10" fillId="0" borderId="0" xfId="0" applyFont="1"/>
    <xf numFmtId="0" fontId="10" fillId="0" borderId="0" xfId="6" applyFont="1" applyAlignment="1">
      <alignment horizontal="left" vertical="center"/>
    </xf>
    <xf numFmtId="0" fontId="26" fillId="0" borderId="0" xfId="8">
      <alignment horizontal="left"/>
      <protection locked="0"/>
    </xf>
    <xf numFmtId="0" fontId="12" fillId="11" borderId="0" xfId="32">
      <alignment horizontal="center"/>
    </xf>
    <xf numFmtId="0" fontId="13" fillId="0" borderId="0" xfId="7" applyBorder="1"/>
    <xf numFmtId="0" fontId="11" fillId="0" borderId="0" xfId="0" applyFont="1" applyAlignment="1">
      <alignment horizontal="left"/>
    </xf>
    <xf numFmtId="0" fontId="14" fillId="0" borderId="0" xfId="9" applyBorder="1"/>
    <xf numFmtId="0" fontId="0" fillId="0" borderId="0" xfId="0" applyAlignment="1">
      <alignment horizontal="left"/>
    </xf>
    <xf numFmtId="0" fontId="18" fillId="0" borderId="0" xfId="6" applyBorder="1"/>
    <xf numFmtId="0" fontId="31" fillId="0" borderId="0" xfId="24" applyBorder="1"/>
    <xf numFmtId="0" fontId="24" fillId="4" borderId="4" xfId="14">
      <protection locked="0"/>
    </xf>
    <xf numFmtId="0" fontId="11" fillId="0" borderId="0" xfId="0" applyFont="1"/>
    <xf numFmtId="0" fontId="25" fillId="0" borderId="3" xfId="13" applyAlignment="1"/>
    <xf numFmtId="167" fontId="1" fillId="5" borderId="4" xfId="18"/>
    <xf numFmtId="164" fontId="2" fillId="2" borderId="2" xfId="19">
      <alignment horizontal="center"/>
      <protection locked="0"/>
    </xf>
    <xf numFmtId="0" fontId="27" fillId="6" borderId="5" xfId="21" applyNumberFormat="1"/>
    <xf numFmtId="0" fontId="0" fillId="0" borderId="6" xfId="22" applyNumberFormat="1" applyFont="1"/>
    <xf numFmtId="0" fontId="0" fillId="0" borderId="7" xfId="23" applyNumberFormat="1" applyFont="1"/>
    <xf numFmtId="0" fontId="25" fillId="7" borderId="2" xfId="26"/>
    <xf numFmtId="0" fontId="6" fillId="0" borderId="0" xfId="27"/>
    <xf numFmtId="171" fontId="28" fillId="7" borderId="4" xfId="30">
      <alignment horizontal="center"/>
    </xf>
    <xf numFmtId="41" fontId="0" fillId="8" borderId="5" xfId="31" applyFont="1"/>
    <xf numFmtId="0" fontId="29" fillId="0" borderId="0" xfId="33"/>
    <xf numFmtId="0" fontId="30" fillId="9" borderId="9" xfId="34">
      <protection locked="0"/>
    </xf>
    <xf numFmtId="173" fontId="0" fillId="0" borderId="0" xfId="2" applyFont="1"/>
    <xf numFmtId="168" fontId="0" fillId="0" borderId="0" xfId="25" applyFont="1"/>
    <xf numFmtId="9" fontId="0" fillId="0" borderId="0" xfId="5" applyFont="1"/>
    <xf numFmtId="164" fontId="2" fillId="10" borderId="2" xfId="0" applyNumberFormat="1" applyFont="1" applyFill="1" applyBorder="1" applyAlignment="1" applyProtection="1">
      <alignment horizontal="center"/>
      <protection locked="0"/>
    </xf>
    <xf numFmtId="179" fontId="22" fillId="0" borderId="0" xfId="16">
      <alignment horizontal="center"/>
    </xf>
    <xf numFmtId="178" fontId="23" fillId="0" borderId="0" xfId="17">
      <alignment horizontal="center"/>
    </xf>
    <xf numFmtId="164" fontId="15" fillId="3" borderId="1" xfId="10" applyNumberFormat="1" applyProtection="1">
      <protection locked="0"/>
    </xf>
    <xf numFmtId="165" fontId="15" fillId="3" borderId="1" xfId="10" applyNumberFormat="1"/>
    <xf numFmtId="0" fontId="13" fillId="0" borderId="0" xfId="7"/>
    <xf numFmtId="0" fontId="14" fillId="0" borderId="0" xfId="9"/>
    <xf numFmtId="172" fontId="15" fillId="3" borderId="1" xfId="40"/>
    <xf numFmtId="41" fontId="24" fillId="4" borderId="4" xfId="14" applyNumberFormat="1">
      <protection locked="0"/>
    </xf>
    <xf numFmtId="174" fontId="0" fillId="0" borderId="0" xfId="1" applyFont="1"/>
    <xf numFmtId="175" fontId="0" fillId="0" borderId="0" xfId="3" applyNumberFormat="1" applyFont="1"/>
    <xf numFmtId="176" fontId="0" fillId="0" borderId="0" xfId="4" applyNumberFormat="1" applyFont="1"/>
    <xf numFmtId="177" fontId="22" fillId="0" borderId="0" xfId="16" applyNumberFormat="1" applyBorder="1">
      <alignment horizontal="center"/>
    </xf>
    <xf numFmtId="178" fontId="23" fillId="0" borderId="0" xfId="17" applyBorder="1">
      <alignment horizontal="center"/>
    </xf>
    <xf numFmtId="177" fontId="25" fillId="0" borderId="3" xfId="13" applyNumberFormat="1">
      <alignment horizontal="center"/>
    </xf>
    <xf numFmtId="180" fontId="0" fillId="0" borderId="0" xfId="25" applyNumberFormat="1" applyFont="1"/>
    <xf numFmtId="0" fontId="23" fillId="0" borderId="0" xfId="0" applyFont="1"/>
    <xf numFmtId="168" fontId="24" fillId="4" borderId="4" xfId="14" applyNumberFormat="1">
      <protection locked="0"/>
    </xf>
    <xf numFmtId="168" fontId="0" fillId="0" borderId="7" xfId="23" applyFont="1"/>
    <xf numFmtId="168" fontId="0" fillId="0" borderId="6" xfId="22" applyNumberFormat="1" applyFont="1"/>
    <xf numFmtId="168" fontId="0" fillId="0" borderId="0" xfId="0" applyNumberFormat="1"/>
    <xf numFmtId="0" fontId="0" fillId="0" borderId="0" xfId="0" quotePrefix="1"/>
    <xf numFmtId="168" fontId="0" fillId="9" borderId="0" xfId="25" applyFont="1" applyFill="1"/>
    <xf numFmtId="0" fontId="10" fillId="0" borderId="0" xfId="6" applyFont="1" applyAlignment="1">
      <alignment horizontal="left" vertical="center"/>
    </xf>
    <xf numFmtId="0" fontId="26" fillId="0" borderId="0" xfId="8">
      <alignment horizontal="left"/>
      <protection locked="0"/>
    </xf>
    <xf numFmtId="0" fontId="0" fillId="0" borderId="0" xfId="0"/>
    <xf numFmtId="0" fontId="12" fillId="11" borderId="0" xfId="32">
      <alignment horizontal="center"/>
    </xf>
    <xf numFmtId="0" fontId="25" fillId="0" borderId="3" xfId="13" applyAlignment="1">
      <alignment horizontal="left"/>
    </xf>
    <xf numFmtId="0" fontId="24" fillId="4" borderId="4" xfId="14" applyAlignment="1">
      <alignment horizontal="left"/>
      <protection locked="0"/>
    </xf>
  </cellXfs>
  <cellStyles count="41">
    <cellStyle name="Accounts Ref" xfId="15" xr:uid="{00000000-0005-0000-0000-000000000000}"/>
    <cellStyle name="Assumption" xfId="14" xr:uid="{00000000-0005-0000-0000-000001000000}"/>
    <cellStyle name="Comma" xfId="1" builtinId="3" customBuiltin="1"/>
    <cellStyle name="Comma [0]" xfId="2" builtinId="6" customBuiltin="1"/>
    <cellStyle name="Constraint" xfId="13" xr:uid="{00000000-0005-0000-0000-000004000000}"/>
    <cellStyle name="Currency" xfId="3" builtinId="4"/>
    <cellStyle name="Currency [0]" xfId="4" builtinId="7"/>
    <cellStyle name="Date" xfId="16" xr:uid="{00000000-0005-0000-0000-000007000000}"/>
    <cellStyle name="Date Heading" xfId="17" xr:uid="{00000000-0005-0000-0000-000008000000}"/>
    <cellStyle name="Empty" xfId="18" xr:uid="{00000000-0005-0000-0000-000009000000}"/>
    <cellStyle name="Error_Checks" xfId="19" xr:uid="{00000000-0005-0000-0000-00000A000000}"/>
    <cellStyle name="Heading 1" xfId="36" builtinId="16" customBuiltin="1"/>
    <cellStyle name="Heading 1 Number" xfId="40" xr:uid="{00000000-0005-0000-0000-00000C000000}"/>
    <cellStyle name="Heading 1 Text" xfId="10" xr:uid="{00000000-0005-0000-0000-00000D000000}"/>
    <cellStyle name="Heading 2" xfId="37" builtinId="17" customBuiltin="1"/>
    <cellStyle name="Heading 2 Text" xfId="11" xr:uid="{00000000-0005-0000-0000-00000F000000}"/>
    <cellStyle name="Heading 3" xfId="38" builtinId="18" customBuiltin="1"/>
    <cellStyle name="Heading 3 Text" xfId="12" xr:uid="{00000000-0005-0000-0000-000011000000}"/>
    <cellStyle name="Heading 4" xfId="6" builtinId="19" customBuiltin="1"/>
    <cellStyle name="Hyperlink" xfId="8" builtinId="8" customBuiltin="1"/>
    <cellStyle name="Hyperlink Text" xfId="20" xr:uid="{00000000-0005-0000-0000-000014000000}"/>
    <cellStyle name="Internal Ref" xfId="21" xr:uid="{00000000-0005-0000-0000-000015000000}"/>
    <cellStyle name="Line Calc" xfId="22" xr:uid="{00000000-0005-0000-0000-000016000000}"/>
    <cellStyle name="Line Total" xfId="23" xr:uid="{00000000-0005-0000-0000-000017000000}"/>
    <cellStyle name="Model Name" xfId="9" xr:uid="{00000000-0005-0000-0000-000018000000}"/>
    <cellStyle name="Normal" xfId="0" builtinId="0" customBuiltin="1"/>
    <cellStyle name="Notes" xfId="24" xr:uid="{00000000-0005-0000-0000-00001B000000}"/>
    <cellStyle name="Numbers 0" xfId="25" xr:uid="{00000000-0005-0000-0000-00001C000000}"/>
    <cellStyle name="Parameter" xfId="26" xr:uid="{00000000-0005-0000-0000-00001D000000}"/>
    <cellStyle name="Percent" xfId="5" builtinId="5"/>
    <cellStyle name="Range Name Description" xfId="27" xr:uid="{00000000-0005-0000-0000-00001F000000}"/>
    <cellStyle name="Right Currency" xfId="28" xr:uid="{00000000-0005-0000-0000-000020000000}"/>
    <cellStyle name="Right Number" xfId="29" xr:uid="{00000000-0005-0000-0000-000021000000}"/>
    <cellStyle name="Row Ref" xfId="30" xr:uid="{00000000-0005-0000-0000-000022000000}"/>
    <cellStyle name="Row_Summary" xfId="31" xr:uid="{00000000-0005-0000-0000-000023000000}"/>
    <cellStyle name="Sheet Title" xfId="7" xr:uid="{00000000-0005-0000-0000-000024000000}"/>
    <cellStyle name="Table_Heading" xfId="32" xr:uid="{00000000-0005-0000-0000-000025000000}"/>
    <cellStyle name="Title" xfId="35" builtinId="15" customBuiltin="1"/>
    <cellStyle name="Total" xfId="39" builtinId="25" customBuiltin="1"/>
    <cellStyle name="Units" xfId="33" xr:uid="{00000000-0005-0000-0000-000028000000}"/>
    <cellStyle name="WIP" xfId="34" xr:uid="{00000000-0005-0000-0000-000029000000}"/>
  </cellStyles>
  <dxfs count="14"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ont>
        <b/>
        <i val="0"/>
      </font>
      <fill>
        <patternFill>
          <bgColor theme="1" tint="0.499984740745262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Invisible" pivot="0" table="0" count="0" xr9:uid="{83FAFA36-8866-40D6-9142-39341D1B01A3}"/>
    <tableStyle name="Table Style 1" pivot="0" count="3" xr9:uid="{00000000-0011-0000-FFFF-FFFF00000000}">
      <tableStyleElement type="headerRow" dxfId="13"/>
      <tableStyleElement type="firstRowStripe" dxfId="12"/>
      <tableStyleElement type="secondRowStripe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6</xdr:row>
      <xdr:rowOff>168378</xdr:rowOff>
    </xdr:from>
    <xdr:to>
      <xdr:col>6</xdr:col>
      <xdr:colOff>334433</xdr:colOff>
      <xdr:row>11</xdr:row>
      <xdr:rowOff>146050</xdr:rowOff>
    </xdr:to>
    <xdr:pic>
      <xdr:nvPicPr>
        <xdr:cNvPr id="2" name="Picture 1" descr="SP Logo 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7667" y="1533628"/>
          <a:ext cx="2048933" cy="7841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48BF5FF-DD73-491C-BB6D-2728F75550A7}">
  <we:reference id="wa200009523" version="1.0.0.0" store="en-US" storeType="OMEX"/>
  <we:alternateReferences>
    <we:reference id="WA200009523" version="1.0.0.0" store="WA20000952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sumproduct.com/" TargetMode="External"/><Relationship Id="rId1" Type="http://schemas.openxmlformats.org/officeDocument/2006/relationships/hyperlink" Target="mailto:sam.ngo@sumproduct.com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J22"/>
  <sheetViews>
    <sheetView showGridLines="0" tabSelected="1" zoomScaleNormal="100" workbookViewId="0">
      <selection activeCell="A3" sqref="A3"/>
    </sheetView>
  </sheetViews>
  <sheetFormatPr defaultRowHeight="12" x14ac:dyDescent="0.2"/>
  <cols>
    <col min="3" max="4" width="3.7109375" customWidth="1"/>
  </cols>
  <sheetData>
    <row r="3" spans="1:10" x14ac:dyDescent="0.2">
      <c r="A3" s="11" t="s">
        <v>0</v>
      </c>
    </row>
    <row r="5" spans="1:10" ht="20.25" x14ac:dyDescent="0.3">
      <c r="C5" s="41" t="str">
        <f>Client_Name</f>
        <v>SumProduct Pty Limited</v>
      </c>
      <c r="D5" s="7"/>
      <c r="E5" s="7"/>
      <c r="F5" s="7"/>
      <c r="G5" s="7"/>
      <c r="H5" s="7"/>
      <c r="I5" s="7"/>
      <c r="J5" s="7"/>
    </row>
    <row r="6" spans="1:10" ht="18" x14ac:dyDescent="0.25">
      <c r="C6" s="42" t="str">
        <f ca="1">Model_Name</f>
        <v>SP Matrix Manipulation SN0.09.xlsm</v>
      </c>
      <c r="D6" s="7"/>
      <c r="E6" s="7"/>
      <c r="F6" s="7"/>
      <c r="G6" s="7"/>
      <c r="H6" s="7"/>
      <c r="I6" s="7"/>
      <c r="J6" s="7"/>
    </row>
    <row r="7" spans="1:10" ht="12.75" x14ac:dyDescent="0.2">
      <c r="C7" s="7"/>
      <c r="D7" s="7"/>
      <c r="E7" s="7"/>
      <c r="F7" s="7"/>
      <c r="G7" s="7"/>
      <c r="H7" s="7"/>
      <c r="I7" s="7"/>
      <c r="J7" s="7"/>
    </row>
    <row r="8" spans="1:10" ht="12.75" x14ac:dyDescent="0.2">
      <c r="C8" s="7"/>
      <c r="D8" s="7"/>
      <c r="E8" s="7"/>
      <c r="F8" s="7"/>
      <c r="G8" s="7"/>
      <c r="H8" s="7"/>
      <c r="I8" s="7"/>
      <c r="J8" s="7"/>
    </row>
    <row r="9" spans="1:10" ht="12.75" x14ac:dyDescent="0.2">
      <c r="C9" s="7"/>
      <c r="D9" s="7"/>
      <c r="E9" s="7"/>
      <c r="F9" s="7"/>
      <c r="G9" s="7"/>
      <c r="H9" s="7"/>
      <c r="I9" s="7"/>
      <c r="J9" s="7"/>
    </row>
    <row r="10" spans="1:10" ht="12.75" x14ac:dyDescent="0.2">
      <c r="C10" s="7"/>
      <c r="D10" s="7"/>
      <c r="E10" s="7"/>
      <c r="F10" s="7"/>
      <c r="G10" s="7"/>
      <c r="H10" s="7"/>
      <c r="I10" s="7"/>
      <c r="J10" s="7"/>
    </row>
    <row r="11" spans="1:10" ht="12.75" x14ac:dyDescent="0.2">
      <c r="C11" s="7"/>
      <c r="D11" s="7"/>
      <c r="E11" s="7"/>
      <c r="F11" s="7"/>
      <c r="G11" s="7"/>
      <c r="H11" s="7"/>
      <c r="I11" s="7"/>
      <c r="J11" s="7"/>
    </row>
    <row r="12" spans="1:10" ht="12.75" x14ac:dyDescent="0.2">
      <c r="C12" s="7"/>
      <c r="D12" s="7"/>
      <c r="E12" s="7"/>
      <c r="F12" s="7"/>
      <c r="G12" s="7"/>
      <c r="H12" s="7"/>
      <c r="I12" s="7"/>
      <c r="J12" s="7"/>
    </row>
    <row r="13" spans="1:10" ht="12.75" x14ac:dyDescent="0.2">
      <c r="C13" s="7"/>
      <c r="D13" s="7"/>
      <c r="E13" s="7"/>
      <c r="F13" s="7"/>
      <c r="G13" s="7"/>
      <c r="H13" s="7"/>
      <c r="I13" s="7"/>
      <c r="J13" s="7"/>
    </row>
    <row r="14" spans="1:10" ht="12.75" x14ac:dyDescent="0.2">
      <c r="C14" s="8" t="s">
        <v>1</v>
      </c>
      <c r="D14" s="9"/>
      <c r="E14" s="7"/>
      <c r="F14" s="7"/>
      <c r="G14" s="7"/>
      <c r="H14" s="7"/>
      <c r="I14" s="7"/>
      <c r="J14" s="7"/>
    </row>
    <row r="15" spans="1:10" ht="12.75" x14ac:dyDescent="0.2">
      <c r="C15" s="9"/>
      <c r="D15" s="9"/>
      <c r="E15" s="7"/>
      <c r="F15" s="7"/>
      <c r="G15" s="7"/>
      <c r="H15" s="7"/>
      <c r="I15" s="7"/>
      <c r="J15" s="7"/>
    </row>
    <row r="16" spans="1:10" ht="12.75" x14ac:dyDescent="0.2">
      <c r="C16" s="8" t="s">
        <v>2</v>
      </c>
      <c r="D16" s="9"/>
      <c r="E16" s="7"/>
      <c r="F16" s="7"/>
      <c r="G16" s="7"/>
      <c r="H16" s="7"/>
      <c r="I16" s="7"/>
      <c r="J16" s="7"/>
    </row>
    <row r="17" spans="3:10" ht="12.75" x14ac:dyDescent="0.2">
      <c r="C17" s="59" t="s">
        <v>3</v>
      </c>
      <c r="D17" s="59"/>
      <c r="E17" s="59"/>
      <c r="F17" s="59"/>
      <c r="G17" s="59"/>
      <c r="H17" s="59"/>
      <c r="I17" s="59"/>
      <c r="J17" s="59"/>
    </row>
    <row r="18" spans="3:10" ht="12.75" x14ac:dyDescent="0.2">
      <c r="C18" s="59"/>
      <c r="D18" s="59"/>
      <c r="E18" s="59"/>
      <c r="F18" s="59"/>
      <c r="G18" s="59"/>
      <c r="H18" s="59"/>
      <c r="I18" s="59"/>
      <c r="J18" s="59"/>
    </row>
    <row r="19" spans="3:10" ht="12.75" x14ac:dyDescent="0.2">
      <c r="C19" s="10"/>
      <c r="D19" s="9"/>
      <c r="E19" s="7"/>
      <c r="F19" s="7"/>
      <c r="G19" s="7"/>
      <c r="H19" s="7"/>
      <c r="I19" s="7"/>
      <c r="J19" s="7"/>
    </row>
    <row r="20" spans="3:10" ht="12.75" x14ac:dyDescent="0.2">
      <c r="C20" s="10"/>
      <c r="D20" s="9"/>
      <c r="E20" s="7"/>
      <c r="F20" s="7"/>
      <c r="G20" s="7"/>
      <c r="H20" s="7"/>
      <c r="I20" s="7"/>
      <c r="J20" s="7"/>
    </row>
    <row r="21" spans="3:10" ht="12.75" x14ac:dyDescent="0.2">
      <c r="C21" s="10" t="s">
        <v>4</v>
      </c>
      <c r="D21" s="9"/>
      <c r="E21" s="7"/>
      <c r="F21" s="7"/>
      <c r="G21" s="60" t="s">
        <v>5</v>
      </c>
      <c r="H21" s="60"/>
      <c r="I21" s="60"/>
      <c r="J21" s="7"/>
    </row>
    <row r="22" spans="3:10" ht="12.75" x14ac:dyDescent="0.2">
      <c r="C22" s="10" t="s">
        <v>6</v>
      </c>
      <c r="D22" s="9"/>
      <c r="E22" s="7"/>
      <c r="F22" s="7"/>
      <c r="G22" s="60" t="s">
        <v>7</v>
      </c>
      <c r="H22" s="60"/>
      <c r="I22" s="60"/>
      <c r="J22" s="7"/>
    </row>
  </sheetData>
  <mergeCells count="4">
    <mergeCell ref="C17:J17"/>
    <mergeCell ref="C18:J18"/>
    <mergeCell ref="G21:I21"/>
    <mergeCell ref="G22:I22"/>
  </mergeCells>
  <hyperlinks>
    <hyperlink ref="G21" r:id="rId1" xr:uid="{00000000-0004-0000-0000-000000000000}"/>
    <hyperlink ref="G22" r:id="rId2" xr:uid="{00000000-0004-0000-0000-000001000000}"/>
    <hyperlink ref="A3" location="HL_Navigator" display="Navigator" xr:uid="{00000000-0004-0000-0000-000002000000}"/>
  </hyperlinks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22"/>
  <sheetViews>
    <sheetView showGridLines="0" zoomScaleNormal="100" workbookViewId="0">
      <pane ySplit="4" topLeftCell="A5" activePane="bottomLeft" state="frozen"/>
      <selection activeCell="C17" sqref="C17:J17"/>
      <selection pane="bottomLeft" activeCell="A5" sqref="A5"/>
    </sheetView>
  </sheetViews>
  <sheetFormatPr defaultRowHeight="12" x14ac:dyDescent="0.2"/>
  <cols>
    <col min="1" max="5" width="3.7109375" customWidth="1"/>
    <col min="6" max="6" width="17.7109375" customWidth="1"/>
  </cols>
  <sheetData>
    <row r="1" spans="1:12" ht="20.25" x14ac:dyDescent="0.3">
      <c r="A1" s="41" t="str">
        <f ca="1">IF(ISERROR(RIGHT(CELL("filename",A1),LEN(CELL("filename",A1))-FIND("]",CELL("filename",A1)))),
"",
RIGHT(CELL("filename"),LEN(CELL("filename"))-FIND("]",CELL("filename"))))</f>
        <v>Navigator</v>
      </c>
    </row>
    <row r="2" spans="1:12" ht="18" x14ac:dyDescent="0.25">
      <c r="A2" s="42" t="str">
        <f ca="1">Model_Name</f>
        <v>SP Matrix Manipulation SN0.09.xlsm</v>
      </c>
    </row>
    <row r="3" spans="1:12" x14ac:dyDescent="0.2">
      <c r="A3" s="11" t="s">
        <v>0</v>
      </c>
      <c r="B3" s="11"/>
      <c r="C3" s="11"/>
      <c r="D3" s="11"/>
      <c r="E3" s="11"/>
    </row>
    <row r="4" spans="1:12" ht="14.25" x14ac:dyDescent="0.2">
      <c r="E4" t="s">
        <v>8</v>
      </c>
      <c r="G4" s="23">
        <f>Overall_Error_Check</f>
        <v>0</v>
      </c>
    </row>
    <row r="7" spans="1:12" ht="16.5" thickBot="1" x14ac:dyDescent="0.3">
      <c r="B7" s="43">
        <v>1</v>
      </c>
      <c r="C7" s="43" t="s">
        <v>9</v>
      </c>
      <c r="D7" s="43"/>
      <c r="E7" s="43"/>
      <c r="F7" s="43"/>
      <c r="G7" s="43"/>
      <c r="H7" s="43"/>
      <c r="I7" s="43"/>
      <c r="J7" s="43"/>
      <c r="K7" s="43"/>
      <c r="L7" s="43"/>
    </row>
    <row r="8" spans="1:12" ht="12.75" thickTop="1" x14ac:dyDescent="0.2"/>
    <row r="9" spans="1:12" x14ac:dyDescent="0.2">
      <c r="F9" s="11" t="s">
        <v>10</v>
      </c>
    </row>
    <row r="10" spans="1:12" x14ac:dyDescent="0.2">
      <c r="F10" s="11" t="s">
        <v>11</v>
      </c>
    </row>
    <row r="11" spans="1:12" x14ac:dyDescent="0.2">
      <c r="F11" s="11" t="s">
        <v>12</v>
      </c>
    </row>
    <row r="12" spans="1:12" x14ac:dyDescent="0.2">
      <c r="F12" s="11" t="s">
        <v>13</v>
      </c>
    </row>
    <row r="13" spans="1:12" x14ac:dyDescent="0.2">
      <c r="F13" s="11" t="s">
        <v>14</v>
      </c>
    </row>
    <row r="14" spans="1:12" x14ac:dyDescent="0.2">
      <c r="F14" s="11" t="s">
        <v>112</v>
      </c>
    </row>
    <row r="15" spans="1:12" x14ac:dyDescent="0.2">
      <c r="F15" s="11" t="s">
        <v>189</v>
      </c>
    </row>
    <row r="16" spans="1:12" x14ac:dyDescent="0.2">
      <c r="F16" s="11" t="s">
        <v>211</v>
      </c>
    </row>
    <row r="17" spans="6:6" x14ac:dyDescent="0.2">
      <c r="F17" s="11" t="s">
        <v>200</v>
      </c>
    </row>
    <row r="18" spans="6:6" x14ac:dyDescent="0.2">
      <c r="F18" s="11">
        <v>1</v>
      </c>
    </row>
    <row r="19" spans="6:6" x14ac:dyDescent="0.2">
      <c r="F19" s="11">
        <v>2</v>
      </c>
    </row>
    <row r="20" spans="6:6" x14ac:dyDescent="0.2">
      <c r="F20" s="11">
        <v>3</v>
      </c>
    </row>
    <row r="21" spans="6:6" x14ac:dyDescent="0.2">
      <c r="F21" s="11" t="s">
        <v>201</v>
      </c>
    </row>
    <row r="22" spans="6:6" x14ac:dyDescent="0.2">
      <c r="F22" s="11" t="s">
        <v>212</v>
      </c>
    </row>
  </sheetData>
  <conditionalFormatting sqref="G4">
    <cfRule type="cellIs" dxfId="10" priority="1" operator="equal">
      <formula>1</formula>
    </cfRule>
  </conditionalFormatting>
  <hyperlinks>
    <hyperlink ref="A3:E3" location="HL_Navigator" tooltip="Go to Navigator (Table of Contents)" display="Navigator" xr:uid="{00000000-0004-0000-0100-000000000000}"/>
    <hyperlink ref="F9" location="HL_1" display="Cover" xr:uid="{A316E86A-47C2-41D3-8DCB-1398465A5448}"/>
    <hyperlink ref="F10" location="HL_3" display="Style Guide" xr:uid="{76C53F24-17C4-4061-9A97-43CF4A148A5A}"/>
    <hyperlink ref="F11" location="HL_4" display="Model Parameters" xr:uid="{FE4520F5-D967-4F8B-804B-0B325B20FCD7}"/>
    <hyperlink ref="F12" location="HL_5" display="Timing" xr:uid="{FBC97497-3B39-4192-ADB8-0F9CE4315217}"/>
    <hyperlink ref="F13" location="HL_6" display="Error Checks" xr:uid="{B579EBE5-D454-4D79-A3D1-BAC55C92C6EF}"/>
    <hyperlink ref="F14" location="HL_7" display="1D Array" xr:uid="{EDCD5A37-D799-446E-A771-1A9F66BA745D}"/>
    <hyperlink ref="F15" location="HL_8" display="2D Array" xr:uid="{B5CBAC08-28DB-40E3-86A8-8734D6FF0D7D}"/>
    <hyperlink ref="F16" location="HL_9" display="3D Array" xr:uid="{78DE89F6-2A0E-4DA2-92A9-5DA918E18474}"/>
    <hyperlink ref="F17" location="HL_10" display="A" xr:uid="{9C541CE5-1FD1-4A16-8C30-23187043246D}"/>
    <hyperlink ref="F18" location="HL_11" display="1" xr:uid="{3991FF69-3377-4299-AA44-71854749971D}"/>
    <hyperlink ref="F19" location="HL_12" display="2" xr:uid="{CA42E999-5617-4CC6-985C-749454CF02FE}"/>
    <hyperlink ref="F20" location="HL_13" display="3" xr:uid="{F658F264-B580-46CC-90DE-3998314F341C}"/>
    <hyperlink ref="F21" location="HL_14" display="B" xr:uid="{550AA58A-8CA6-4BE9-A295-4BC1494BF172}"/>
    <hyperlink ref="F22" location="HL_15" display="4D Array" xr:uid="{93216BB7-9197-4D73-AEC0-5167F583D9B7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/>
  </sheetPr>
  <dimension ref="A1:N81"/>
  <sheetViews>
    <sheetView showGridLines="0" zoomScaleNormal="100" workbookViewId="0">
      <pane ySplit="4" topLeftCell="A5" activePane="bottomLeft" state="frozen"/>
      <selection activeCell="C17" sqref="C17:J17"/>
      <selection pane="bottomLeft" activeCell="A5" sqref="A5"/>
    </sheetView>
  </sheetViews>
  <sheetFormatPr defaultColWidth="0" defaultRowHeight="12" outlineLevelRow="1" x14ac:dyDescent="0.2"/>
  <cols>
    <col min="1" max="5" width="3.7109375" customWidth="1"/>
    <col min="6" max="7" width="9.140625" customWidth="1"/>
    <col min="8" max="8" width="1.7109375" customWidth="1"/>
    <col min="9" max="9" width="17.28515625" bestFit="1" customWidth="1"/>
    <col min="10" max="10" width="1.7109375" customWidth="1"/>
    <col min="11" max="11" width="23.42578125" customWidth="1"/>
    <col min="12" max="13" width="9.140625" customWidth="1"/>
    <col min="14" max="14" width="1.7109375" customWidth="1"/>
    <col min="15" max="16384" width="9.140625" hidden="1"/>
  </cols>
  <sheetData>
    <row r="1" spans="1:13" ht="20.25" x14ac:dyDescent="0.3">
      <c r="A1" s="41" t="str">
        <f ca="1">IF(ISERROR(RIGHT(CELL("filename",A1),LEN(CELL("filename",A1))-FIND("]",CELL("filename",A1)))),
"",
RIGHT(CELL("filename"),LEN(CELL("filename"))-FIND("]",CELL("filename"))))</f>
        <v>Navigator</v>
      </c>
    </row>
    <row r="2" spans="1:13" ht="18" x14ac:dyDescent="0.25">
      <c r="A2" s="42" t="str">
        <f ca="1">Model_Name</f>
        <v>SP Matrix Manipulation SN0.09.xlsm</v>
      </c>
    </row>
    <row r="3" spans="1:13" x14ac:dyDescent="0.2">
      <c r="A3" s="60" t="s">
        <v>0</v>
      </c>
      <c r="B3" s="60"/>
      <c r="C3" s="60"/>
      <c r="D3" s="60"/>
      <c r="E3" s="60"/>
    </row>
    <row r="4" spans="1:13" ht="14.25" x14ac:dyDescent="0.2">
      <c r="E4" t="s">
        <v>8</v>
      </c>
      <c r="I4" s="1">
        <f>Overall_Error_Check</f>
        <v>0</v>
      </c>
    </row>
    <row r="5" spans="1:13" x14ac:dyDescent="0.2">
      <c r="A5" s="11"/>
    </row>
    <row r="6" spans="1:13" ht="16.5" thickBot="1" x14ac:dyDescent="0.3">
      <c r="B6" s="43">
        <f>MAX($B$5:$B5)+1</f>
        <v>1</v>
      </c>
      <c r="C6" s="2" t="s">
        <v>15</v>
      </c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ht="12.75" outlineLevel="1" thickTop="1" x14ac:dyDescent="0.2"/>
    <row r="8" spans="1:13" outlineLevel="1" x14ac:dyDescent="0.2">
      <c r="C8" s="62" t="s">
        <v>16</v>
      </c>
      <c r="D8" s="62"/>
      <c r="E8" s="62"/>
      <c r="F8" s="62"/>
      <c r="G8" s="62"/>
      <c r="H8" s="12"/>
      <c r="I8" s="12" t="s">
        <v>17</v>
      </c>
      <c r="J8" s="12"/>
      <c r="K8" s="12" t="s">
        <v>18</v>
      </c>
    </row>
    <row r="9" spans="1:13" outlineLevel="1" x14ac:dyDescent="0.2">
      <c r="C9" s="61"/>
      <c r="D9" s="61"/>
      <c r="E9" s="61"/>
      <c r="F9" s="61"/>
      <c r="G9" s="61"/>
      <c r="K9" s="16"/>
    </row>
    <row r="10" spans="1:13" ht="20.25" outlineLevel="1" x14ac:dyDescent="0.3">
      <c r="C10" s="61" t="s">
        <v>19</v>
      </c>
      <c r="D10" s="61"/>
      <c r="E10" s="61"/>
      <c r="F10" s="61"/>
      <c r="G10" s="61"/>
      <c r="I10" s="13" t="str">
        <f>C10</f>
        <v>Sheet Title</v>
      </c>
      <c r="K10" s="14" t="s">
        <v>19</v>
      </c>
    </row>
    <row r="11" spans="1:13" ht="18" outlineLevel="1" x14ac:dyDescent="0.25">
      <c r="C11" s="61" t="s">
        <v>20</v>
      </c>
      <c r="D11" s="61"/>
      <c r="E11" s="61"/>
      <c r="F11" s="61"/>
      <c r="G11" s="61"/>
      <c r="I11" s="15" t="str">
        <f>C11</f>
        <v>Model Name</v>
      </c>
      <c r="K11" s="14" t="s">
        <v>20</v>
      </c>
    </row>
    <row r="12" spans="1:13" outlineLevel="1" x14ac:dyDescent="0.2">
      <c r="C12" s="61"/>
      <c r="D12" s="61"/>
      <c r="E12" s="61"/>
      <c r="F12" s="61"/>
      <c r="G12" s="61"/>
      <c r="K12" s="16"/>
    </row>
    <row r="13" spans="1:13" ht="16.5" outlineLevel="1" thickBot="1" x14ac:dyDescent="0.3">
      <c r="C13" s="61" t="s">
        <v>21</v>
      </c>
      <c r="D13" s="61"/>
      <c r="E13" s="61"/>
      <c r="F13" s="61"/>
      <c r="G13" s="61"/>
      <c r="I13" s="40" t="str">
        <f>C13</f>
        <v>Header 1</v>
      </c>
      <c r="K13" s="14" t="s">
        <v>21</v>
      </c>
    </row>
    <row r="14" spans="1:13" ht="17.25" outlineLevel="1" thickTop="1" x14ac:dyDescent="0.25">
      <c r="C14" s="61" t="s">
        <v>22</v>
      </c>
      <c r="D14" s="61"/>
      <c r="E14" s="61"/>
      <c r="F14" s="61"/>
      <c r="G14" s="61"/>
      <c r="I14" s="3" t="str">
        <f>C14</f>
        <v>Header 2</v>
      </c>
      <c r="K14" s="14" t="s">
        <v>22</v>
      </c>
    </row>
    <row r="15" spans="1:13" ht="15" outlineLevel="1" x14ac:dyDescent="0.25">
      <c r="C15" s="61" t="s">
        <v>23</v>
      </c>
      <c r="D15" s="61"/>
      <c r="E15" s="61"/>
      <c r="F15" s="61"/>
      <c r="G15" s="61"/>
      <c r="I15" s="4" t="str">
        <f>C15</f>
        <v>Header 3</v>
      </c>
      <c r="K15" s="14" t="s">
        <v>23</v>
      </c>
    </row>
    <row r="16" spans="1:13" ht="15" outlineLevel="1" x14ac:dyDescent="0.25">
      <c r="C16" s="61" t="s">
        <v>24</v>
      </c>
      <c r="D16" s="61"/>
      <c r="E16" s="61"/>
      <c r="F16" s="61"/>
      <c r="G16" s="61"/>
      <c r="I16" s="17" t="str">
        <f>C16</f>
        <v>Header 4</v>
      </c>
      <c r="K16" s="14" t="s">
        <v>24</v>
      </c>
    </row>
    <row r="17" spans="2:13" outlineLevel="1" x14ac:dyDescent="0.2">
      <c r="C17" s="61"/>
      <c r="D17" s="61"/>
      <c r="E17" s="61"/>
      <c r="F17" s="61"/>
      <c r="G17" s="61"/>
      <c r="K17" s="16"/>
    </row>
    <row r="18" spans="2:13" ht="15" outlineLevel="1" x14ac:dyDescent="0.25">
      <c r="C18" s="61" t="s">
        <v>25</v>
      </c>
      <c r="D18" s="61"/>
      <c r="E18" s="61"/>
      <c r="F18" s="61"/>
      <c r="G18" s="61"/>
      <c r="I18" s="18" t="str">
        <f>C18</f>
        <v>Notes</v>
      </c>
      <c r="K18" s="14" t="s">
        <v>25</v>
      </c>
    </row>
    <row r="19" spans="2:13" outlineLevel="1" x14ac:dyDescent="0.2">
      <c r="C19" s="61"/>
      <c r="D19" s="61"/>
      <c r="E19" s="61"/>
      <c r="F19" s="61"/>
      <c r="G19" s="61"/>
      <c r="K19" s="16"/>
    </row>
    <row r="20" spans="2:13" ht="15" outlineLevel="1" x14ac:dyDescent="0.25">
      <c r="C20" s="61" t="s">
        <v>26</v>
      </c>
      <c r="D20" s="61"/>
      <c r="E20" s="61"/>
      <c r="F20" s="61"/>
      <c r="G20" s="61"/>
      <c r="I20" s="12" t="str">
        <f>C20</f>
        <v>Table Heading</v>
      </c>
      <c r="K20" s="14" t="s">
        <v>26</v>
      </c>
    </row>
    <row r="21" spans="2:13" outlineLevel="1" x14ac:dyDescent="0.2"/>
    <row r="22" spans="2:13" outlineLevel="1" x14ac:dyDescent="0.2"/>
    <row r="23" spans="2:13" ht="16.5" thickBot="1" x14ac:dyDescent="0.3">
      <c r="B23" s="43">
        <f>MAX($B$5:$B22)+1</f>
        <v>2</v>
      </c>
      <c r="C23" s="2" t="s">
        <v>27</v>
      </c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2:13" ht="12.75" outlineLevel="1" thickTop="1" x14ac:dyDescent="0.2"/>
    <row r="25" spans="2:13" outlineLevel="1" x14ac:dyDescent="0.2">
      <c r="C25" s="62" t="s">
        <v>16</v>
      </c>
      <c r="D25" s="62"/>
      <c r="E25" s="62"/>
      <c r="F25" s="62"/>
      <c r="G25" s="62"/>
      <c r="H25" s="12"/>
      <c r="I25" s="12" t="s">
        <v>17</v>
      </c>
      <c r="J25" s="12"/>
      <c r="K25" s="12" t="s">
        <v>18</v>
      </c>
    </row>
    <row r="26" spans="2:13" ht="15" outlineLevel="1" x14ac:dyDescent="0.25">
      <c r="C26" s="61"/>
      <c r="D26" s="61"/>
      <c r="E26" s="61"/>
      <c r="F26" s="61"/>
      <c r="G26" s="61"/>
      <c r="K26" s="14"/>
    </row>
    <row r="27" spans="2:13" ht="15" outlineLevel="1" x14ac:dyDescent="0.25">
      <c r="C27" s="61" t="s">
        <v>28</v>
      </c>
      <c r="D27" s="61"/>
      <c r="E27" s="61"/>
      <c r="F27" s="61"/>
      <c r="G27" s="61"/>
      <c r="I27" s="19" t="s">
        <v>28</v>
      </c>
      <c r="K27" s="20" t="str">
        <f>C27</f>
        <v>Assumption</v>
      </c>
    </row>
    <row r="28" spans="2:13" ht="15" outlineLevel="1" x14ac:dyDescent="0.25">
      <c r="C28" s="61"/>
      <c r="D28" s="61"/>
      <c r="E28" s="61"/>
      <c r="F28" s="61"/>
      <c r="G28" s="61"/>
      <c r="K28" s="20"/>
    </row>
    <row r="29" spans="2:13" ht="15" outlineLevel="1" x14ac:dyDescent="0.25">
      <c r="C29" s="61" t="s">
        <v>29</v>
      </c>
      <c r="D29" s="61"/>
      <c r="E29" s="61"/>
      <c r="F29" s="61"/>
      <c r="G29" s="61"/>
      <c r="I29" s="21" t="str">
        <f>C29</f>
        <v>Constraint</v>
      </c>
      <c r="K29" s="20" t="str">
        <f>C29</f>
        <v>Constraint</v>
      </c>
    </row>
    <row r="30" spans="2:13" ht="15" outlineLevel="1" x14ac:dyDescent="0.25">
      <c r="C30" s="61"/>
      <c r="D30" s="61"/>
      <c r="E30" s="61"/>
      <c r="F30" s="61"/>
      <c r="G30" s="61"/>
      <c r="K30" s="20"/>
    </row>
    <row r="31" spans="2:13" ht="15" outlineLevel="1" x14ac:dyDescent="0.25">
      <c r="C31" s="61" t="s">
        <v>30</v>
      </c>
      <c r="D31" s="61"/>
      <c r="E31" s="61"/>
      <c r="F31" s="61"/>
      <c r="G31" s="61"/>
      <c r="I31" s="22"/>
      <c r="K31" s="20" t="str">
        <f>C31</f>
        <v>Empty</v>
      </c>
    </row>
    <row r="32" spans="2:13" ht="15" outlineLevel="1" x14ac:dyDescent="0.25">
      <c r="C32" s="61"/>
      <c r="D32" s="61"/>
      <c r="E32" s="61"/>
      <c r="F32" s="61"/>
      <c r="G32" s="61"/>
      <c r="K32" s="20"/>
    </row>
    <row r="33" spans="3:11" ht="15" outlineLevel="1" x14ac:dyDescent="0.25">
      <c r="C33" t="s">
        <v>31</v>
      </c>
      <c r="I33" s="23">
        <v>0</v>
      </c>
      <c r="K33" s="20" t="str">
        <f>C33</f>
        <v>Error Check</v>
      </c>
    </row>
    <row r="34" spans="3:11" ht="15" outlineLevel="1" x14ac:dyDescent="0.25">
      <c r="K34" s="20"/>
    </row>
    <row r="35" spans="3:11" ht="15" outlineLevel="1" x14ac:dyDescent="0.25">
      <c r="C35" s="61" t="s">
        <v>32</v>
      </c>
      <c r="D35" s="61"/>
      <c r="E35" s="61"/>
      <c r="F35" s="61"/>
      <c r="G35" s="61"/>
      <c r="I35" s="11" t="s">
        <v>32</v>
      </c>
      <c r="K35" s="20" t="str">
        <f>C35</f>
        <v>Hyperlink</v>
      </c>
    </row>
    <row r="36" spans="3:11" ht="15" outlineLevel="1" x14ac:dyDescent="0.25">
      <c r="C36" s="61"/>
      <c r="D36" s="61"/>
      <c r="E36" s="61"/>
      <c r="F36" s="61"/>
      <c r="G36" s="61"/>
      <c r="K36" s="20"/>
    </row>
    <row r="37" spans="3:11" ht="15" outlineLevel="1" x14ac:dyDescent="0.25">
      <c r="C37" s="61" t="s">
        <v>33</v>
      </c>
      <c r="D37" s="61"/>
      <c r="E37" s="61"/>
      <c r="F37" s="61"/>
      <c r="G37" s="61"/>
      <c r="I37" s="24" t="str">
        <f>'Error Checks'!E12</f>
        <v>Example</v>
      </c>
      <c r="K37" s="20" t="str">
        <f>C37</f>
        <v>Internal Reference</v>
      </c>
    </row>
    <row r="38" spans="3:11" ht="15" outlineLevel="1" x14ac:dyDescent="0.25">
      <c r="C38" s="61"/>
      <c r="D38" s="61"/>
      <c r="E38" s="61"/>
      <c r="F38" s="61"/>
      <c r="G38" s="61"/>
      <c r="K38" s="20"/>
    </row>
    <row r="39" spans="3:11" ht="15" outlineLevel="1" x14ac:dyDescent="0.25">
      <c r="C39" s="61" t="s">
        <v>34</v>
      </c>
      <c r="D39" s="61"/>
      <c r="E39" s="61"/>
      <c r="F39" s="61"/>
      <c r="G39" s="61"/>
      <c r="I39" s="25">
        <v>77</v>
      </c>
      <c r="K39" s="20" t="s">
        <v>35</v>
      </c>
    </row>
    <row r="40" spans="3:11" ht="15" outlineLevel="1" x14ac:dyDescent="0.25">
      <c r="C40" s="61"/>
      <c r="D40" s="61"/>
      <c r="E40" s="61"/>
      <c r="F40" s="61"/>
      <c r="G40" s="61"/>
      <c r="K40" s="20"/>
    </row>
    <row r="41" spans="3:11" ht="15" outlineLevel="1" x14ac:dyDescent="0.25">
      <c r="C41" s="61" t="s">
        <v>36</v>
      </c>
      <c r="D41" s="61"/>
      <c r="E41" s="61"/>
      <c r="F41" s="61"/>
      <c r="G41" s="61"/>
      <c r="I41" s="26">
        <f>I39</f>
        <v>77</v>
      </c>
      <c r="K41" s="20" t="str">
        <f>C41</f>
        <v>Line Total</v>
      </c>
    </row>
    <row r="42" spans="3:11" ht="15" outlineLevel="1" x14ac:dyDescent="0.25">
      <c r="C42" s="61"/>
      <c r="D42" s="61"/>
      <c r="E42" s="61"/>
      <c r="F42" s="61"/>
      <c r="G42" s="61"/>
      <c r="K42" s="20"/>
    </row>
    <row r="43" spans="3:11" ht="15" outlineLevel="1" x14ac:dyDescent="0.25">
      <c r="C43" s="61" t="s">
        <v>37</v>
      </c>
      <c r="D43" s="61"/>
      <c r="E43" s="61"/>
      <c r="F43" s="61"/>
      <c r="G43" s="61"/>
      <c r="I43" s="27">
        <v>365</v>
      </c>
      <c r="K43" s="20" t="str">
        <f>C43</f>
        <v>Parameter</v>
      </c>
    </row>
    <row r="44" spans="3:11" ht="15" outlineLevel="1" x14ac:dyDescent="0.25">
      <c r="C44" s="61"/>
      <c r="D44" s="61"/>
      <c r="E44" s="61"/>
      <c r="F44" s="61"/>
      <c r="G44" s="61"/>
      <c r="K44" s="20"/>
    </row>
    <row r="45" spans="3:11" ht="15" outlineLevel="1" x14ac:dyDescent="0.25">
      <c r="C45" s="61" t="s">
        <v>38</v>
      </c>
      <c r="D45" s="61"/>
      <c r="E45" s="61"/>
      <c r="F45" s="61"/>
      <c r="G45" s="61"/>
      <c r="I45" s="28" t="s">
        <v>39</v>
      </c>
      <c r="K45" s="20" t="str">
        <f>C45</f>
        <v>Range Name Description</v>
      </c>
    </row>
    <row r="46" spans="3:11" ht="15" outlineLevel="1" x14ac:dyDescent="0.25">
      <c r="C46" s="61"/>
      <c r="D46" s="61"/>
      <c r="E46" s="61"/>
      <c r="F46" s="61"/>
      <c r="G46" s="61"/>
      <c r="K46" s="20"/>
    </row>
    <row r="47" spans="3:11" ht="15" outlineLevel="1" x14ac:dyDescent="0.25">
      <c r="C47" s="61" t="s">
        <v>40</v>
      </c>
      <c r="D47" s="61"/>
      <c r="E47" s="61"/>
      <c r="F47" s="61"/>
      <c r="G47" s="61"/>
      <c r="I47" s="29">
        <f>ROW(C47)</f>
        <v>47</v>
      </c>
      <c r="K47" s="20" t="s">
        <v>41</v>
      </c>
    </row>
    <row r="48" spans="3:11" ht="15" outlineLevel="1" x14ac:dyDescent="0.25">
      <c r="C48" s="61"/>
      <c r="D48" s="61"/>
      <c r="E48" s="61"/>
      <c r="F48" s="61"/>
      <c r="G48" s="61"/>
      <c r="K48" s="20"/>
    </row>
    <row r="49" spans="2:13" ht="15" outlineLevel="1" x14ac:dyDescent="0.25">
      <c r="C49" s="61" t="s">
        <v>42</v>
      </c>
      <c r="D49" s="61"/>
      <c r="E49" s="61"/>
      <c r="F49" s="61"/>
      <c r="G49" s="61"/>
      <c r="I49" s="30">
        <f>I41</f>
        <v>77</v>
      </c>
      <c r="K49" s="20" t="str">
        <f>C49</f>
        <v>Row Summary</v>
      </c>
    </row>
    <row r="50" spans="2:13" ht="15" outlineLevel="1" x14ac:dyDescent="0.25">
      <c r="C50" s="61"/>
      <c r="D50" s="61"/>
      <c r="E50" s="61"/>
      <c r="F50" s="61"/>
      <c r="G50" s="61"/>
      <c r="K50" s="20"/>
    </row>
    <row r="51" spans="2:13" ht="15" outlineLevel="1" x14ac:dyDescent="0.25">
      <c r="C51" s="61" t="s">
        <v>43</v>
      </c>
      <c r="D51" s="61"/>
      <c r="E51" s="61"/>
      <c r="F51" s="61"/>
      <c r="G51" s="61"/>
      <c r="I51" s="31" t="s">
        <v>44</v>
      </c>
      <c r="K51" s="20" t="str">
        <f>C51</f>
        <v>Units</v>
      </c>
    </row>
    <row r="52" spans="2:13" ht="15" outlineLevel="1" x14ac:dyDescent="0.25">
      <c r="C52" s="61"/>
      <c r="D52" s="61"/>
      <c r="E52" s="61"/>
      <c r="F52" s="61"/>
      <c r="G52" s="61"/>
      <c r="K52" s="20"/>
    </row>
    <row r="53" spans="2:13" ht="15" outlineLevel="1" x14ac:dyDescent="0.25">
      <c r="C53" s="61" t="s">
        <v>45</v>
      </c>
      <c r="D53" s="61"/>
      <c r="E53" s="61"/>
      <c r="F53" s="61"/>
      <c r="G53" s="61"/>
      <c r="I53" s="32"/>
      <c r="K53" s="20" t="str">
        <f>C53</f>
        <v>WIP</v>
      </c>
    </row>
    <row r="54" spans="2:13" ht="15" outlineLevel="1" x14ac:dyDescent="0.25">
      <c r="C54" s="61"/>
      <c r="D54" s="61"/>
      <c r="E54" s="61"/>
      <c r="F54" s="61"/>
      <c r="G54" s="61"/>
      <c r="K54" s="20"/>
    </row>
    <row r="55" spans="2:13" outlineLevel="1" x14ac:dyDescent="0.2">
      <c r="C55" s="61"/>
      <c r="D55" s="61"/>
      <c r="E55" s="61"/>
      <c r="F55" s="61"/>
      <c r="G55" s="61"/>
    </row>
    <row r="56" spans="2:13" ht="16.5" thickBot="1" x14ac:dyDescent="0.3">
      <c r="B56" s="43">
        <f>MAX($B$5:$B55)+1</f>
        <v>3</v>
      </c>
      <c r="C56" s="2" t="s">
        <v>46</v>
      </c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2:13" ht="12.75" outlineLevel="1" thickTop="1" x14ac:dyDescent="0.2"/>
    <row r="58" spans="2:13" outlineLevel="1" x14ac:dyDescent="0.2">
      <c r="C58" s="62" t="s">
        <v>16</v>
      </c>
      <c r="D58" s="62"/>
      <c r="E58" s="62"/>
      <c r="F58" s="62"/>
      <c r="G58" s="62"/>
      <c r="H58" s="12"/>
      <c r="I58" s="12" t="s">
        <v>17</v>
      </c>
      <c r="J58" s="12"/>
      <c r="K58" s="12" t="s">
        <v>18</v>
      </c>
    </row>
    <row r="59" spans="2:13" outlineLevel="1" x14ac:dyDescent="0.2"/>
    <row r="60" spans="2:13" ht="15" outlineLevel="1" x14ac:dyDescent="0.25">
      <c r="C60" s="61" t="s">
        <v>47</v>
      </c>
      <c r="D60" s="61"/>
      <c r="E60" s="61"/>
      <c r="F60" s="61"/>
      <c r="G60" s="61"/>
      <c r="I60" s="45">
        <v>123456.789</v>
      </c>
      <c r="K60" s="20" t="str">
        <f t="shared" ref="K60:K66" si="0">C60</f>
        <v>Comma</v>
      </c>
    </row>
    <row r="61" spans="2:13" ht="15" outlineLevel="1" x14ac:dyDescent="0.25">
      <c r="C61" s="61"/>
      <c r="D61" s="61"/>
      <c r="E61" s="61"/>
      <c r="F61" s="61"/>
      <c r="G61" s="61"/>
      <c r="K61" s="20"/>
    </row>
    <row r="62" spans="2:13" ht="15" outlineLevel="1" x14ac:dyDescent="0.25">
      <c r="C62" s="61" t="s">
        <v>48</v>
      </c>
      <c r="D62" s="61"/>
      <c r="E62" s="61"/>
      <c r="F62" s="61"/>
      <c r="G62" s="61"/>
      <c r="I62" s="33">
        <v>-123456.789</v>
      </c>
      <c r="K62" s="20" t="str">
        <f t="shared" si="0"/>
        <v>Comma [0]</v>
      </c>
    </row>
    <row r="63" spans="2:13" ht="15" outlineLevel="1" x14ac:dyDescent="0.25">
      <c r="C63" s="61"/>
      <c r="D63" s="61"/>
      <c r="E63" s="61"/>
      <c r="F63" s="61"/>
      <c r="G63" s="61"/>
      <c r="K63" s="20"/>
    </row>
    <row r="64" spans="2:13" ht="15" outlineLevel="1" x14ac:dyDescent="0.25">
      <c r="C64" s="61" t="s">
        <v>49</v>
      </c>
      <c r="D64" s="61"/>
      <c r="E64" s="61"/>
      <c r="F64" s="61"/>
      <c r="G64" s="61"/>
      <c r="I64" s="46">
        <v>123456.789</v>
      </c>
      <c r="K64" s="20" t="str">
        <f t="shared" si="0"/>
        <v>Currency</v>
      </c>
    </row>
    <row r="65" spans="3:11" ht="15" outlineLevel="1" x14ac:dyDescent="0.25">
      <c r="C65" s="61"/>
      <c r="D65" s="61"/>
      <c r="E65" s="61"/>
      <c r="F65" s="61"/>
      <c r="G65" s="61"/>
      <c r="K65" s="20"/>
    </row>
    <row r="66" spans="3:11" ht="15" outlineLevel="1" x14ac:dyDescent="0.25">
      <c r="C66" s="61" t="s">
        <v>50</v>
      </c>
      <c r="D66" s="61"/>
      <c r="E66" s="61"/>
      <c r="F66" s="61"/>
      <c r="G66" s="61"/>
      <c r="I66" s="47">
        <v>123456.789</v>
      </c>
      <c r="K66" s="20" t="str">
        <f t="shared" si="0"/>
        <v>Currency [0]</v>
      </c>
    </row>
    <row r="67" spans="3:11" ht="15" outlineLevel="1" x14ac:dyDescent="0.25">
      <c r="C67" s="61"/>
      <c r="D67" s="61"/>
      <c r="E67" s="61"/>
      <c r="F67" s="61"/>
      <c r="G67" s="61"/>
      <c r="K67" s="20"/>
    </row>
    <row r="68" spans="3:11" ht="15" outlineLevel="1" x14ac:dyDescent="0.25">
      <c r="C68" s="61" t="s">
        <v>51</v>
      </c>
      <c r="D68" s="61"/>
      <c r="E68" s="61"/>
      <c r="F68" s="61"/>
      <c r="G68" s="61"/>
      <c r="I68" s="48">
        <f ca="1">TODAY()</f>
        <v>46091</v>
      </c>
      <c r="K68" s="20" t="str">
        <f>C68</f>
        <v>Date</v>
      </c>
    </row>
    <row r="69" spans="3:11" ht="15" outlineLevel="1" x14ac:dyDescent="0.25">
      <c r="C69" s="61"/>
      <c r="D69" s="61"/>
      <c r="E69" s="61"/>
      <c r="F69" s="61"/>
      <c r="G69" s="61"/>
      <c r="K69" s="20"/>
    </row>
    <row r="70" spans="3:11" ht="15" outlineLevel="1" x14ac:dyDescent="0.25">
      <c r="C70" s="61" t="s">
        <v>52</v>
      </c>
      <c r="D70" s="61"/>
      <c r="E70" s="61"/>
      <c r="F70" s="61"/>
      <c r="G70" s="61"/>
      <c r="I70" s="49">
        <f ca="1">TODAY()</f>
        <v>46091</v>
      </c>
      <c r="K70" s="20" t="str">
        <f>C70</f>
        <v>Date Heading</v>
      </c>
    </row>
    <row r="71" spans="3:11" ht="15" outlineLevel="1" x14ac:dyDescent="0.25">
      <c r="C71" s="61"/>
      <c r="D71" s="61"/>
      <c r="E71" s="61"/>
      <c r="F71" s="61"/>
      <c r="G71" s="61"/>
      <c r="K71" s="20"/>
    </row>
    <row r="72" spans="3:11" ht="15" outlineLevel="1" x14ac:dyDescent="0.25">
      <c r="C72" s="61" t="s">
        <v>53</v>
      </c>
      <c r="D72" s="61"/>
      <c r="E72" s="61"/>
      <c r="F72" s="61"/>
      <c r="G72" s="61"/>
      <c r="I72" s="34">
        <v>-123456.789</v>
      </c>
      <c r="K72" s="20" t="str">
        <f>C72</f>
        <v>Numbers 0</v>
      </c>
    </row>
    <row r="73" spans="3:11" ht="15" outlineLevel="1" x14ac:dyDescent="0.25">
      <c r="C73" s="61"/>
      <c r="D73" s="61"/>
      <c r="E73" s="61"/>
      <c r="F73" s="61"/>
      <c r="G73" s="61"/>
      <c r="K73" s="20"/>
    </row>
    <row r="74" spans="3:11" ht="15" outlineLevel="1" x14ac:dyDescent="0.25">
      <c r="C74" s="61" t="s">
        <v>54</v>
      </c>
      <c r="D74" s="61"/>
      <c r="E74" s="61"/>
      <c r="F74" s="61"/>
      <c r="G74" s="61"/>
      <c r="I74" s="35">
        <v>0.5</v>
      </c>
      <c r="K74" s="20" t="str">
        <f>C74</f>
        <v>Percent</v>
      </c>
    </row>
    <row r="75" spans="3:11" outlineLevel="1" x14ac:dyDescent="0.2">
      <c r="C75" s="61"/>
      <c r="D75" s="61"/>
      <c r="E75" s="61"/>
      <c r="F75" s="61"/>
      <c r="G75" s="61"/>
    </row>
    <row r="76" spans="3:11" outlineLevel="1" x14ac:dyDescent="0.2">
      <c r="C76" s="61"/>
      <c r="D76" s="61"/>
      <c r="E76" s="61"/>
      <c r="F76" s="61"/>
      <c r="G76" s="61"/>
    </row>
    <row r="77" spans="3:11" x14ac:dyDescent="0.2">
      <c r="C77" s="61"/>
      <c r="D77" s="61"/>
      <c r="E77" s="61"/>
      <c r="F77" s="61"/>
      <c r="G77" s="61"/>
    </row>
    <row r="78" spans="3:11" x14ac:dyDescent="0.2">
      <c r="C78" s="61"/>
      <c r="D78" s="61"/>
      <c r="E78" s="61"/>
      <c r="F78" s="61"/>
      <c r="G78" s="61"/>
    </row>
    <row r="79" spans="3:11" x14ac:dyDescent="0.2">
      <c r="C79" s="61"/>
      <c r="D79" s="61"/>
      <c r="E79" s="61"/>
      <c r="F79" s="61"/>
      <c r="G79" s="61"/>
    </row>
    <row r="80" spans="3:11" x14ac:dyDescent="0.2">
      <c r="C80" s="61"/>
      <c r="D80" s="61"/>
      <c r="E80" s="61"/>
      <c r="F80" s="61"/>
      <c r="G80" s="61"/>
    </row>
    <row r="81" spans="3:7" x14ac:dyDescent="0.2">
      <c r="C81" s="61"/>
      <c r="D81" s="61"/>
      <c r="E81" s="61"/>
      <c r="F81" s="61"/>
      <c r="G81" s="61"/>
    </row>
  </sheetData>
  <mergeCells count="66">
    <mergeCell ref="C17:G17"/>
    <mergeCell ref="A3:E3"/>
    <mergeCell ref="C8:G8"/>
    <mergeCell ref="C9:G9"/>
    <mergeCell ref="C10:G10"/>
    <mergeCell ref="C11:G11"/>
    <mergeCell ref="C12:G12"/>
    <mergeCell ref="C13:G13"/>
    <mergeCell ref="C14:G14"/>
    <mergeCell ref="C15:G15"/>
    <mergeCell ref="C16:G16"/>
    <mergeCell ref="C35:G35"/>
    <mergeCell ref="C18:G18"/>
    <mergeCell ref="C19:G19"/>
    <mergeCell ref="C20:G20"/>
    <mergeCell ref="C25:G25"/>
    <mergeCell ref="C26:G26"/>
    <mergeCell ref="C27:G27"/>
    <mergeCell ref="C28:G28"/>
    <mergeCell ref="C29:G29"/>
    <mergeCell ref="C30:G30"/>
    <mergeCell ref="C31:G31"/>
    <mergeCell ref="C32:G32"/>
    <mergeCell ref="C47:G47"/>
    <mergeCell ref="C36:G36"/>
    <mergeCell ref="C37:G37"/>
    <mergeCell ref="C38:G38"/>
    <mergeCell ref="C39:G39"/>
    <mergeCell ref="C40:G40"/>
    <mergeCell ref="C41:G41"/>
    <mergeCell ref="C42:G42"/>
    <mergeCell ref="C43:G43"/>
    <mergeCell ref="C44:G44"/>
    <mergeCell ref="C45:G45"/>
    <mergeCell ref="C46:G46"/>
    <mergeCell ref="C62:G62"/>
    <mergeCell ref="C48:G48"/>
    <mergeCell ref="C49:G49"/>
    <mergeCell ref="C50:G50"/>
    <mergeCell ref="C51:G51"/>
    <mergeCell ref="C52:G52"/>
    <mergeCell ref="C53:G53"/>
    <mergeCell ref="C54:G54"/>
    <mergeCell ref="C55:G55"/>
    <mergeCell ref="C58:G58"/>
    <mergeCell ref="C60:G60"/>
    <mergeCell ref="C61:G61"/>
    <mergeCell ref="C74:G74"/>
    <mergeCell ref="C63:G63"/>
    <mergeCell ref="C64:G64"/>
    <mergeCell ref="C65:G65"/>
    <mergeCell ref="C66:G66"/>
    <mergeCell ref="C67:G67"/>
    <mergeCell ref="C68:G68"/>
    <mergeCell ref="C69:G69"/>
    <mergeCell ref="C70:G70"/>
    <mergeCell ref="C71:G71"/>
    <mergeCell ref="C72:G72"/>
    <mergeCell ref="C73:G73"/>
    <mergeCell ref="C81:G81"/>
    <mergeCell ref="C75:G75"/>
    <mergeCell ref="C76:G76"/>
    <mergeCell ref="C77:G77"/>
    <mergeCell ref="C78:G78"/>
    <mergeCell ref="C79:G79"/>
    <mergeCell ref="C80:G80"/>
  </mergeCells>
  <conditionalFormatting sqref="I4">
    <cfRule type="cellIs" dxfId="9" priority="1" operator="notEqual">
      <formula>0</formula>
    </cfRule>
  </conditionalFormatting>
  <hyperlinks>
    <hyperlink ref="A3:E3" location="HL_Navigator" tooltip="Go to Navigator (Table of Contents)" display="Navigator" xr:uid="{00000000-0004-0000-0200-000000000000}"/>
    <hyperlink ref="A3" location="HL_Navigator" display="Navigator" xr:uid="{00000000-0004-0000-0200-000001000000}"/>
    <hyperlink ref="I4" location="Overall_Error_Check" tooltip="Go to Overall Error Check" display="Overall_Error_Check" xr:uid="{00000000-0004-0000-0200-00000200000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2">
    <outlinePr summaryBelow="0"/>
  </sheetPr>
  <dimension ref="A1:S33"/>
  <sheetViews>
    <sheetView showGridLines="0" zoomScaleNormal="100" workbookViewId="0">
      <pane ySplit="4" topLeftCell="A5" activePane="bottomLeft" state="frozen"/>
      <selection activeCell="C17" sqref="C17:J17"/>
      <selection pane="bottomLeft" activeCell="A5" sqref="A5"/>
    </sheetView>
  </sheetViews>
  <sheetFormatPr defaultColWidth="0" defaultRowHeight="12" outlineLevelRow="1" x14ac:dyDescent="0.2"/>
  <cols>
    <col min="1" max="5" width="3.7109375" customWidth="1"/>
    <col min="6" max="6" width="16.28515625" customWidth="1"/>
    <col min="7" max="7" width="14.42578125" customWidth="1"/>
    <col min="8" max="8" width="3" customWidth="1"/>
    <col min="9" max="18" width="9.140625" customWidth="1"/>
    <col min="19" max="19" width="1.7109375" customWidth="1"/>
    <col min="20" max="16384" width="9.140625" hidden="1"/>
  </cols>
  <sheetData>
    <row r="1" spans="1:18" ht="20.25" x14ac:dyDescent="0.3">
      <c r="A1" s="41" t="str">
        <f ca="1">IF(ISERROR(RIGHT(CELL("filename"),LEN(CELL("filename"))-FIND("]",CELL("filename")))),
"",
RIGHT(CELL("filename"),LEN(CELL("filename"))-FIND("]",CELL("filename"))))</f>
        <v>Navigator</v>
      </c>
    </row>
    <row r="2" spans="1:18" ht="18" x14ac:dyDescent="0.25">
      <c r="A2" s="42" t="str">
        <f ca="1">Model_Name</f>
        <v>SP Matrix Manipulation SN0.09.xlsm</v>
      </c>
    </row>
    <row r="3" spans="1:18" x14ac:dyDescent="0.2">
      <c r="A3" s="60" t="s">
        <v>0</v>
      </c>
      <c r="B3" s="60"/>
      <c r="C3" s="60"/>
      <c r="D3" s="60"/>
      <c r="E3" s="60"/>
    </row>
    <row r="4" spans="1:18" ht="14.25" x14ac:dyDescent="0.2">
      <c r="E4" t="s">
        <v>8</v>
      </c>
      <c r="I4" s="1">
        <f>Overall_Error_Check</f>
        <v>0</v>
      </c>
    </row>
    <row r="6" spans="1:18" ht="16.5" thickBot="1" x14ac:dyDescent="0.3">
      <c r="B6" s="43">
        <f>MAX($B$5:$B5)+1</f>
        <v>1</v>
      </c>
      <c r="C6" s="2" t="s">
        <v>55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2.75" outlineLevel="1" thickTop="1" x14ac:dyDescent="0.2"/>
    <row r="8" spans="1:18" ht="16.5" outlineLevel="1" x14ac:dyDescent="0.25">
      <c r="C8" s="3" t="s">
        <v>56</v>
      </c>
    </row>
    <row r="9" spans="1:18" outlineLevel="1" x14ac:dyDescent="0.2"/>
    <row r="10" spans="1:18" ht="15" outlineLevel="1" x14ac:dyDescent="0.25">
      <c r="E10" s="4" t="s">
        <v>55</v>
      </c>
    </row>
    <row r="11" spans="1:18" outlineLevel="1" x14ac:dyDescent="0.2">
      <c r="E11" t="s">
        <v>20</v>
      </c>
      <c r="G11" s="63" t="str">
        <f ca="1">IF(ISERROR(OR(FIND("[",CELL("filename",A1)),FIND("]",CELL("filename",A1)))),"",MID(CELL("filename",A1),FIND("[",CELL("filename",A1))+1,FIND("]",CELL("filename",A1))-FIND("[",CELL("filename",A1))-1))</f>
        <v>SP Matrix Manipulation SN0.09.xlsm</v>
      </c>
      <c r="H11" s="63"/>
      <c r="I11" s="63"/>
      <c r="J11" s="63"/>
      <c r="K11" s="63"/>
      <c r="L11" s="63"/>
      <c r="M11" s="63"/>
      <c r="N11" s="63"/>
    </row>
    <row r="12" spans="1:18" outlineLevel="1" x14ac:dyDescent="0.2">
      <c r="E12" t="s">
        <v>57</v>
      </c>
      <c r="G12" s="64" t="s">
        <v>58</v>
      </c>
      <c r="H12" s="64"/>
      <c r="I12" s="64"/>
      <c r="J12" s="64"/>
      <c r="K12" s="64"/>
      <c r="L12" s="64"/>
      <c r="M12" s="64"/>
      <c r="N12" s="64"/>
    </row>
    <row r="13" spans="1:18" outlineLevel="1" x14ac:dyDescent="0.2"/>
    <row r="14" spans="1:18" outlineLevel="1" x14ac:dyDescent="0.2"/>
    <row r="15" spans="1:18" ht="16.5" thickBot="1" x14ac:dyDescent="0.3">
      <c r="B15" s="43">
        <f>MAX($B$5:$B14)+1</f>
        <v>2</v>
      </c>
      <c r="C15" s="2" t="s">
        <v>59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1:18" ht="12.75" outlineLevel="1" thickTop="1" x14ac:dyDescent="0.2"/>
    <row r="17" spans="3:7" ht="16.5" outlineLevel="1" x14ac:dyDescent="0.25">
      <c r="C17" s="3" t="s">
        <v>60</v>
      </c>
    </row>
    <row r="18" spans="3:7" outlineLevel="1" x14ac:dyDescent="0.2"/>
    <row r="19" spans="3:7" outlineLevel="1" x14ac:dyDescent="0.2">
      <c r="E19" t="s">
        <v>61</v>
      </c>
      <c r="G19" s="5">
        <v>365</v>
      </c>
    </row>
    <row r="20" spans="3:7" outlineLevel="1" x14ac:dyDescent="0.2">
      <c r="E20" t="s">
        <v>62</v>
      </c>
      <c r="G20" s="5">
        <v>1</v>
      </c>
    </row>
    <row r="21" spans="3:7" outlineLevel="1" x14ac:dyDescent="0.2">
      <c r="E21" t="s">
        <v>63</v>
      </c>
      <c r="G21" s="5">
        <v>3</v>
      </c>
    </row>
    <row r="22" spans="3:7" outlineLevel="1" x14ac:dyDescent="0.2">
      <c r="E22" t="s">
        <v>64</v>
      </c>
      <c r="G22" s="5">
        <v>6</v>
      </c>
    </row>
    <row r="23" spans="3:7" outlineLevel="1" x14ac:dyDescent="0.2">
      <c r="E23" t="s">
        <v>65</v>
      </c>
      <c r="G23" s="5">
        <v>12</v>
      </c>
    </row>
    <row r="24" spans="3:7" outlineLevel="1" x14ac:dyDescent="0.2">
      <c r="E24" t="s">
        <v>66</v>
      </c>
      <c r="G24" s="5">
        <v>4</v>
      </c>
    </row>
    <row r="25" spans="3:7" outlineLevel="1" x14ac:dyDescent="0.2"/>
    <row r="26" spans="3:7" outlineLevel="1" x14ac:dyDescent="0.2">
      <c r="E26" t="s">
        <v>67</v>
      </c>
      <c r="G26" s="5">
        <v>5</v>
      </c>
    </row>
    <row r="27" spans="3:7" outlineLevel="1" x14ac:dyDescent="0.2"/>
    <row r="28" spans="3:7" outlineLevel="1" x14ac:dyDescent="0.2">
      <c r="E28" t="s">
        <v>68</v>
      </c>
      <c r="G28" s="6">
        <v>9.9999999999999997E+98</v>
      </c>
    </row>
    <row r="29" spans="3:7" outlineLevel="1" x14ac:dyDescent="0.2">
      <c r="E29" t="s">
        <v>69</v>
      </c>
      <c r="G29" s="6">
        <v>1E-8</v>
      </c>
    </row>
    <row r="30" spans="3:7" outlineLevel="1" x14ac:dyDescent="0.2"/>
    <row r="31" spans="3:7" outlineLevel="1" x14ac:dyDescent="0.2">
      <c r="E31" t="s">
        <v>70</v>
      </c>
      <c r="G31" s="5">
        <v>1000</v>
      </c>
    </row>
    <row r="32" spans="3:7" outlineLevel="1" x14ac:dyDescent="0.2"/>
    <row r="33" outlineLevel="1" x14ac:dyDescent="0.2"/>
  </sheetData>
  <sheetProtection formatColumns="0" formatRows="0"/>
  <mergeCells count="3">
    <mergeCell ref="A3:E3"/>
    <mergeCell ref="G11:N11"/>
    <mergeCell ref="G12:N12"/>
  </mergeCells>
  <conditionalFormatting sqref="I4">
    <cfRule type="cellIs" dxfId="8" priority="1" operator="notEqual">
      <formula>0</formula>
    </cfRule>
  </conditionalFormatting>
  <hyperlinks>
    <hyperlink ref="A3:E3" location="HL_Navigator" tooltip="Go to Navigator (Table of Contents)" display="Navigator" xr:uid="{00000000-0004-0000-0300-000000000000}"/>
    <hyperlink ref="A3" location="HL_Navigator" display="Navigator" xr:uid="{00000000-0004-0000-0300-000001000000}"/>
    <hyperlink ref="I4" location="Overall_Error_Check" tooltip="Go to Overall Error Check" display="Overall_Error_Check" xr:uid="{00000000-0004-0000-0300-000002000000}"/>
  </hyperlinks>
  <pageMargins left="0.70866141732283472" right="0.70866141732283472" top="0.74803149606299213" bottom="0.74803149606299213" header="0.31496062992125984" footer="0.31496062992125984"/>
  <pageSetup paperSize="8" scale="7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outlinePr summaryBelow="0"/>
  </sheetPr>
  <dimension ref="A1:O21"/>
  <sheetViews>
    <sheetView showGridLines="0" zoomScaleNormal="100" workbookViewId="0">
      <pane ySplit="9" topLeftCell="A10" activePane="bottomLeft" state="frozen"/>
      <selection activeCell="C17" sqref="C17:J17"/>
      <selection pane="bottomLeft" activeCell="A10" sqref="A10"/>
    </sheetView>
  </sheetViews>
  <sheetFormatPr defaultRowHeight="12" outlineLevelRow="1" x14ac:dyDescent="0.2"/>
  <cols>
    <col min="1" max="5" width="3.7109375" customWidth="1"/>
    <col min="7" max="7" width="22.140625" customWidth="1"/>
    <col min="8" max="8" width="10.7109375" customWidth="1"/>
    <col min="10" max="14" width="10.7109375" customWidth="1"/>
  </cols>
  <sheetData>
    <row r="1" spans="1:15" ht="20.25" x14ac:dyDescent="0.3">
      <c r="A1" s="41" t="str">
        <f ca="1">IF(ISERROR(RIGHT(CELL("filename"),LEN(CELL("filename"))-FIND("]",CELL("filename")))),
"",
RIGHT(CELL("filename"),LEN(CELL("filename"))-FIND("]",CELL("filename"))))</f>
        <v>Navigator</v>
      </c>
    </row>
    <row r="2" spans="1:15" ht="18" x14ac:dyDescent="0.25">
      <c r="A2" s="42" t="str">
        <f ca="1">Model_Name</f>
        <v>SP Matrix Manipulation SN0.09.xlsm</v>
      </c>
    </row>
    <row r="3" spans="1:15" x14ac:dyDescent="0.2">
      <c r="A3" s="60" t="s">
        <v>0</v>
      </c>
      <c r="B3" s="60"/>
      <c r="C3" s="60"/>
      <c r="D3" s="60"/>
      <c r="E3" s="60"/>
    </row>
    <row r="4" spans="1:15" ht="14.25" x14ac:dyDescent="0.2">
      <c r="B4" t="s">
        <v>8</v>
      </c>
      <c r="F4" s="1">
        <f>Overall_Error_Check</f>
        <v>0</v>
      </c>
    </row>
    <row r="5" spans="1:15" x14ac:dyDescent="0.2">
      <c r="J5" s="38">
        <f ca="1">J$7</f>
        <v>46112</v>
      </c>
      <c r="K5" s="38">
        <f ca="1">K$7</f>
        <v>46203</v>
      </c>
      <c r="L5" s="38">
        <f ca="1">L$7</f>
        <v>46295</v>
      </c>
      <c r="M5" s="38">
        <f ca="1">M$7</f>
        <v>46387</v>
      </c>
      <c r="N5" s="38">
        <f ca="1">N$7</f>
        <v>46477</v>
      </c>
    </row>
    <row r="6" spans="1:15" outlineLevel="1" x14ac:dyDescent="0.2">
      <c r="C6" t="s">
        <v>71</v>
      </c>
      <c r="J6" s="37">
        <f ca="1">IF(J$9=1,Model_Start_Date,I$7+1)</f>
        <v>46091</v>
      </c>
      <c r="K6" s="37">
        <f ca="1">IF(K$9=1,Model_Start_Date,J$7+1)</f>
        <v>46113</v>
      </c>
      <c r="L6" s="37">
        <f ca="1">IF(L$9=1,Model_Start_Date,K$7+1)</f>
        <v>46204</v>
      </c>
      <c r="M6" s="37">
        <f ca="1">IF(M$9=1,Model_Start_Date,L$7+1)</f>
        <v>46296</v>
      </c>
      <c r="N6" s="37">
        <f ca="1">IF(N$9=1,Model_Start_Date,M$7+1)</f>
        <v>46388</v>
      </c>
    </row>
    <row r="7" spans="1:15" outlineLevel="1" x14ac:dyDescent="0.2">
      <c r="C7" t="s">
        <v>72</v>
      </c>
      <c r="J7" s="37">
        <f ca="1">EOMONTH(J$6,MOD(Periodicity+Reporting_Month_Factor-MONTH(J$6),Periodicity))</f>
        <v>46112</v>
      </c>
      <c r="K7" s="37">
        <f ca="1">EOMONTH(K$6,MOD(Periodicity+Reporting_Month_Factor-MONTH(K$6),Periodicity))</f>
        <v>46203</v>
      </c>
      <c r="L7" s="37">
        <f ca="1">EOMONTH(L$6,MOD(Periodicity+Reporting_Month_Factor-MONTH(L$6),Periodicity))</f>
        <v>46295</v>
      </c>
      <c r="M7" s="37">
        <f ca="1">EOMONTH(M$6,MOD(Periodicity+Reporting_Month_Factor-MONTH(M$6),Periodicity))</f>
        <v>46387</v>
      </c>
      <c r="N7" s="37">
        <f ca="1">EOMONTH(N$6,MOD(Periodicity+Reporting_Month_Factor-MONTH(N$6),Periodicity))</f>
        <v>46477</v>
      </c>
    </row>
    <row r="8" spans="1:15" outlineLevel="1" x14ac:dyDescent="0.2">
      <c r="C8" t="s">
        <v>73</v>
      </c>
      <c r="J8" s="33">
        <f ca="1">J7-J6+1</f>
        <v>22</v>
      </c>
      <c r="K8" s="33">
        <f t="shared" ref="K8:N8" ca="1" si="0">K7-K6+1</f>
        <v>91</v>
      </c>
      <c r="L8" s="33">
        <f t="shared" ca="1" si="0"/>
        <v>92</v>
      </c>
      <c r="M8" s="33">
        <f t="shared" ca="1" si="0"/>
        <v>92</v>
      </c>
      <c r="N8" s="33">
        <f t="shared" ca="1" si="0"/>
        <v>90</v>
      </c>
    </row>
    <row r="9" spans="1:15" ht="15" outlineLevel="1" x14ac:dyDescent="0.25">
      <c r="C9" t="s">
        <v>74</v>
      </c>
      <c r="I9" s="22"/>
      <c r="J9" s="33">
        <f>N(I$9)+1</f>
        <v>1</v>
      </c>
      <c r="K9" s="33">
        <f t="shared" ref="K9:N9" si="1">N(J$9)+1</f>
        <v>2</v>
      </c>
      <c r="L9" s="33">
        <f t="shared" si="1"/>
        <v>3</v>
      </c>
      <c r="M9" s="33">
        <f t="shared" si="1"/>
        <v>4</v>
      </c>
      <c r="N9" s="33">
        <f t="shared" si="1"/>
        <v>5</v>
      </c>
    </row>
    <row r="11" spans="1:15" ht="16.5" thickBot="1" x14ac:dyDescent="0.3">
      <c r="B11" s="43">
        <f>MAX($B$10:$B10)+1</f>
        <v>1</v>
      </c>
      <c r="C11" s="39" t="s">
        <v>75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ht="12.75" thickTop="1" x14ac:dyDescent="0.2"/>
    <row r="13" spans="1:15" ht="16.5" x14ac:dyDescent="0.25">
      <c r="C13" s="3" t="s">
        <v>76</v>
      </c>
    </row>
    <row r="15" spans="1:15" x14ac:dyDescent="0.2">
      <c r="D15" t="s">
        <v>77</v>
      </c>
      <c r="H15" s="50">
        <f ca="1">TODAY()</f>
        <v>46091</v>
      </c>
    </row>
    <row r="17" spans="4:9" x14ac:dyDescent="0.2">
      <c r="D17" t="s">
        <v>78</v>
      </c>
      <c r="H17" s="44">
        <v>3</v>
      </c>
    </row>
    <row r="19" spans="4:9" x14ac:dyDescent="0.2">
      <c r="D19" t="s">
        <v>79</v>
      </c>
      <c r="H19" s="44">
        <v>12</v>
      </c>
      <c r="I19" s="18" t="str">
        <f ca="1">"e.g. "&amp;TEXT(DATE(YEAR(Model_Start_Date)+IF(Example_Reporting_Month&lt;MONTH(Model_Start_Date),1,0),Example_Reporting_Month+1,1)-1,"dd-Mmm-yy")</f>
        <v>e.g. 31-Dec-26</v>
      </c>
    </row>
    <row r="21" spans="4:9" x14ac:dyDescent="0.2">
      <c r="D21" t="s">
        <v>80</v>
      </c>
      <c r="H21" s="34">
        <f>MOD(Example_Reporting_Month-1,Periodicity)+1</f>
        <v>3</v>
      </c>
    </row>
  </sheetData>
  <mergeCells count="1">
    <mergeCell ref="A3:E3"/>
  </mergeCells>
  <conditionalFormatting sqref="F4">
    <cfRule type="cellIs" dxfId="7" priority="1" operator="notEqual">
      <formula>0</formula>
    </cfRule>
  </conditionalFormatting>
  <dataValidations count="1">
    <dataValidation type="list" allowBlank="1" showInputMessage="1" showErrorMessage="1" sqref="H17" xr:uid="{00000000-0002-0000-0400-000000000000}">
      <formula1>"1,2,3,4,6,12"</formula1>
    </dataValidation>
  </dataValidations>
  <hyperlinks>
    <hyperlink ref="F4" location="Overall_Error_Check" tooltip="Go to Overall Error Check" display="Overall_Error_Check" xr:uid="{00000000-0004-0000-0400-000000000000}"/>
    <hyperlink ref="A3:E3" location="HL_Navigator" tooltip="Go to Navigator (Table of Contents)" display="Navigator" xr:uid="{00000000-0004-0000-0400-000001000000}"/>
    <hyperlink ref="A3" location="HL_Navigator" display="Navigator" xr:uid="{00000000-0004-0000-0400-00000200000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outlinePr summaryBelow="0"/>
  </sheetPr>
  <dimension ref="A1:R19"/>
  <sheetViews>
    <sheetView showGridLines="0" zoomScaleNormal="100" workbookViewId="0">
      <pane ySplit="4" topLeftCell="A5" activePane="bottomLeft" state="frozen"/>
      <selection activeCell="C17" sqref="C17:J17"/>
      <selection pane="bottomLeft" activeCell="A5" sqref="A5"/>
    </sheetView>
  </sheetViews>
  <sheetFormatPr defaultColWidth="0" defaultRowHeight="12" outlineLevelRow="1" x14ac:dyDescent="0.2"/>
  <cols>
    <col min="1" max="5" width="3.7109375" customWidth="1"/>
    <col min="6" max="12" width="9.140625" customWidth="1"/>
    <col min="13" max="18" width="0" hidden="1" customWidth="1"/>
    <col min="19" max="16384" width="9.140625" hidden="1"/>
  </cols>
  <sheetData>
    <row r="1" spans="1:11" ht="20.25" x14ac:dyDescent="0.3">
      <c r="A1" s="41" t="str">
        <f ca="1">IF(ISERROR(RIGHT(CELL("filename"),LEN(CELL("filename"))-FIND("]",CELL("filename")))),
"",
RIGHT(CELL("filename"),LEN(CELL("filename"))-FIND("]",CELL("filename"))))</f>
        <v>Navigator</v>
      </c>
    </row>
    <row r="2" spans="1:11" ht="18" x14ac:dyDescent="0.25">
      <c r="A2" s="42" t="str">
        <f ca="1">Model_Name</f>
        <v>SP Matrix Manipulation SN0.09.xlsm</v>
      </c>
    </row>
    <row r="3" spans="1:11" x14ac:dyDescent="0.2">
      <c r="A3" s="60" t="s">
        <v>0</v>
      </c>
      <c r="B3" s="60"/>
      <c r="C3" s="60"/>
      <c r="D3" s="60"/>
      <c r="E3" s="60"/>
    </row>
    <row r="4" spans="1:11" ht="14.25" x14ac:dyDescent="0.2">
      <c r="B4" t="s">
        <v>8</v>
      </c>
      <c r="F4" s="1">
        <f>Overall_Error_Check</f>
        <v>0</v>
      </c>
    </row>
    <row r="5" spans="1:11" x14ac:dyDescent="0.2">
      <c r="A5" s="11"/>
    </row>
    <row r="6" spans="1:11" ht="16.5" thickBot="1" x14ac:dyDescent="0.3">
      <c r="B6" s="43">
        <f>MAX($B$5:$B5)+1</f>
        <v>1</v>
      </c>
      <c r="C6" s="2" t="s">
        <v>14</v>
      </c>
      <c r="D6" s="2"/>
      <c r="E6" s="2"/>
      <c r="F6" s="2"/>
      <c r="G6" s="2"/>
      <c r="H6" s="2"/>
      <c r="I6" s="2"/>
      <c r="J6" s="2"/>
      <c r="K6" s="2"/>
    </row>
    <row r="7" spans="1:11" ht="12.75" outlineLevel="1" thickTop="1" x14ac:dyDescent="0.2"/>
    <row r="8" spans="1:11" ht="16.5" outlineLevel="1" x14ac:dyDescent="0.25">
      <c r="C8" s="3" t="s">
        <v>81</v>
      </c>
    </row>
    <row r="9" spans="1:11" ht="16.5" outlineLevel="1" x14ac:dyDescent="0.25">
      <c r="C9" s="3"/>
    </row>
    <row r="10" spans="1:11" ht="16.5" outlineLevel="1" x14ac:dyDescent="0.25">
      <c r="C10" s="3"/>
      <c r="D10" s="4" t="s">
        <v>82</v>
      </c>
    </row>
    <row r="11" spans="1:11" outlineLevel="1" x14ac:dyDescent="0.2"/>
    <row r="12" spans="1:11" ht="14.25" outlineLevel="1" x14ac:dyDescent="0.2">
      <c r="E12" t="s">
        <v>83</v>
      </c>
      <c r="I12" s="36"/>
    </row>
    <row r="13" spans="1:11" outlineLevel="1" x14ac:dyDescent="0.2"/>
    <row r="14" spans="1:11" outlineLevel="1" x14ac:dyDescent="0.2"/>
    <row r="15" spans="1:11" outlineLevel="1" x14ac:dyDescent="0.2"/>
    <row r="16" spans="1:11" outlineLevel="1" x14ac:dyDescent="0.2"/>
    <row r="17" spans="5:9" ht="15" outlineLevel="1" x14ac:dyDescent="0.25">
      <c r="E17" s="4" t="str">
        <f>C8</f>
        <v>Summary of Errors</v>
      </c>
      <c r="I17" s="1">
        <f>MIN(1,SUM(I11:I15))</f>
        <v>0</v>
      </c>
    </row>
    <row r="18" spans="5:9" outlineLevel="1" x14ac:dyDescent="0.2"/>
    <row r="19" spans="5:9" outlineLevel="1" x14ac:dyDescent="0.2"/>
  </sheetData>
  <mergeCells count="1">
    <mergeCell ref="A3:E3"/>
  </mergeCells>
  <conditionalFormatting sqref="I17">
    <cfRule type="cellIs" dxfId="6" priority="5" operator="notEqual">
      <formula>0</formula>
    </cfRule>
  </conditionalFormatting>
  <conditionalFormatting sqref="I12">
    <cfRule type="cellIs" dxfId="5" priority="4" operator="notEqual">
      <formula>0</formula>
    </cfRule>
  </conditionalFormatting>
  <conditionalFormatting sqref="I12">
    <cfRule type="cellIs" dxfId="4" priority="3" operator="notEqual">
      <formula>0</formula>
    </cfRule>
  </conditionalFormatting>
  <conditionalFormatting sqref="F4">
    <cfRule type="cellIs" dxfId="3" priority="1" operator="notEqual">
      <formula>0</formula>
    </cfRule>
  </conditionalFormatting>
  <hyperlinks>
    <hyperlink ref="F4" location="Overall_Error_Check" tooltip="Go to Overall Error Check" display="Overall_Error_Check" xr:uid="{00000000-0004-0000-0500-000000000000}"/>
    <hyperlink ref="A3:E3" location="HL_Navigator" tooltip="Go to Navigator (Table of Contents)" display="Navigator" xr:uid="{00000000-0004-0000-0500-000001000000}"/>
    <hyperlink ref="A3" location="HL_Navigator" display="Navigator" xr:uid="{00000000-0004-0000-0500-000002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725B1-AEA2-4644-BDBF-0E869237BA74}">
  <sheetPr codeName="Sheet8"/>
  <dimension ref="A1:R78"/>
  <sheetViews>
    <sheetView showGridLines="0" zoomScaleNormal="100" workbookViewId="0">
      <pane ySplit="4" topLeftCell="A5" activePane="bottomLeft" state="frozen"/>
      <selection activeCell="C17" sqref="C17:J17"/>
      <selection pane="bottomLeft" activeCell="A5" sqref="A5"/>
    </sheetView>
  </sheetViews>
  <sheetFormatPr defaultRowHeight="12" x14ac:dyDescent="0.2"/>
  <cols>
    <col min="1" max="4" width="3.7109375" customWidth="1"/>
    <col min="5" max="5" width="15.5703125" customWidth="1"/>
    <col min="6" max="15" width="10.42578125" customWidth="1"/>
    <col min="16" max="16" width="11" bestFit="1" customWidth="1"/>
  </cols>
  <sheetData>
    <row r="1" spans="1:18" ht="20.25" x14ac:dyDescent="0.3">
      <c r="A1" s="41" t="str">
        <f ca="1">IF(ISERROR(RIGHT(CELL("filename"),LEN(CELL("filename"))-FIND("]",CELL("filename")))),
"",
RIGHT(CELL("filename"),LEN(CELL("filename"))-FIND("]",CELL("filename"))))</f>
        <v>Navigator</v>
      </c>
      <c r="L1" s="11"/>
    </row>
    <row r="2" spans="1:18" ht="18" x14ac:dyDescent="0.25">
      <c r="A2" s="42" t="str">
        <f ca="1">Model_Name</f>
        <v>SP Matrix Manipulation SN0.09.xlsm</v>
      </c>
    </row>
    <row r="3" spans="1:18" x14ac:dyDescent="0.2">
      <c r="A3" s="60" t="s">
        <v>0</v>
      </c>
      <c r="B3" s="60"/>
      <c r="C3" s="60"/>
      <c r="D3" s="60"/>
      <c r="E3" s="60"/>
      <c r="F3" s="60"/>
    </row>
    <row r="4" spans="1:18" ht="14.25" x14ac:dyDescent="0.2">
      <c r="B4" t="s">
        <v>8</v>
      </c>
      <c r="G4" s="1">
        <f>Overall_Error_Check</f>
        <v>0</v>
      </c>
    </row>
    <row r="5" spans="1:18" x14ac:dyDescent="0.2">
      <c r="A5" s="11"/>
    </row>
    <row r="6" spans="1:18" ht="16.5" thickBot="1" x14ac:dyDescent="0.3">
      <c r="B6" s="43">
        <f>MAX($B$5:$B5)+1</f>
        <v>1</v>
      </c>
      <c r="C6" s="2" t="str">
        <f ca="1">A1</f>
        <v>Navigator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8" ht="12.75" thickTop="1" x14ac:dyDescent="0.2"/>
    <row r="8" spans="1:18" ht="16.5" x14ac:dyDescent="0.25">
      <c r="C8" s="3" t="s">
        <v>84</v>
      </c>
      <c r="D8" s="3"/>
    </row>
    <row r="10" spans="1:18" x14ac:dyDescent="0.2">
      <c r="E10" t="s">
        <v>85</v>
      </c>
      <c r="G10" s="53">
        <v>10</v>
      </c>
    </row>
    <row r="12" spans="1:18" x14ac:dyDescent="0.2">
      <c r="E12" t="s">
        <v>86</v>
      </c>
      <c r="G12" s="34" cm="1">
        <f t="array" ref="G12:P12">_xlfn.SEQUENCE(1,Number_of_Periods)</f>
        <v>1</v>
      </c>
      <c r="H12" s="34">
        <v>2</v>
      </c>
      <c r="I12" s="34">
        <v>3</v>
      </c>
      <c r="J12" s="34">
        <v>4</v>
      </c>
      <c r="K12" s="34">
        <v>5</v>
      </c>
      <c r="L12" s="34">
        <v>6</v>
      </c>
      <c r="M12" s="34">
        <v>7</v>
      </c>
      <c r="N12" s="34">
        <v>8</v>
      </c>
      <c r="O12" s="34">
        <v>9</v>
      </c>
      <c r="P12" s="34">
        <v>10</v>
      </c>
    </row>
    <row r="13" spans="1:18" x14ac:dyDescent="0.2">
      <c r="G13" s="34"/>
      <c r="H13" s="34"/>
      <c r="I13" s="34"/>
      <c r="J13" s="34"/>
      <c r="K13" s="34"/>
      <c r="L13" s="34"/>
      <c r="M13" s="34"/>
      <c r="N13" s="34"/>
      <c r="O13" s="34"/>
      <c r="P13" s="34"/>
    </row>
    <row r="14" spans="1:18" x14ac:dyDescent="0.2">
      <c r="E14" s="52" t="s">
        <v>87</v>
      </c>
      <c r="G14" s="34"/>
      <c r="H14" s="34"/>
      <c r="I14" s="34"/>
      <c r="J14" s="34"/>
      <c r="K14" s="34"/>
      <c r="L14" s="34"/>
      <c r="M14" s="34"/>
      <c r="N14" s="34"/>
      <c r="O14" s="34"/>
      <c r="P14" s="34"/>
    </row>
    <row r="15" spans="1:18" x14ac:dyDescent="0.2">
      <c r="G15" s="34" cm="1">
        <f t="array" aca="1" ref="G15:P15" ca="1">_xlfn.RANDARRAY(1,Number_of_Periods,0,10,TRUE)</f>
        <v>2</v>
      </c>
      <c r="H15" s="34">
        <f ca="1"/>
        <v>6</v>
      </c>
      <c r="I15" s="34">
        <f ca="1"/>
        <v>6</v>
      </c>
      <c r="J15" s="34">
        <f ca="1"/>
        <v>9</v>
      </c>
      <c r="K15" s="34">
        <f ca="1"/>
        <v>8</v>
      </c>
      <c r="L15" s="34">
        <f ca="1"/>
        <v>6</v>
      </c>
      <c r="M15" s="34">
        <f ca="1"/>
        <v>2</v>
      </c>
      <c r="N15" s="34">
        <f ca="1"/>
        <v>7</v>
      </c>
      <c r="O15" s="34">
        <f ca="1"/>
        <v>10</v>
      </c>
      <c r="P15" s="34">
        <f ca="1"/>
        <v>7</v>
      </c>
      <c r="R15" s="56"/>
    </row>
    <row r="16" spans="1:18" x14ac:dyDescent="0.2">
      <c r="G16" s="34"/>
      <c r="H16" s="34"/>
      <c r="I16" s="34"/>
      <c r="J16" s="34"/>
      <c r="K16" s="34"/>
      <c r="L16" s="34"/>
      <c r="M16" s="34"/>
      <c r="N16" s="34"/>
      <c r="O16" s="34"/>
      <c r="P16" s="34"/>
    </row>
    <row r="17" spans="3:18" ht="16.5" x14ac:dyDescent="0.25">
      <c r="C17" s="3" t="s">
        <v>88</v>
      </c>
      <c r="D17" s="3"/>
      <c r="G17" s="34"/>
      <c r="H17" s="34"/>
      <c r="I17" s="34"/>
      <c r="J17" s="34"/>
      <c r="K17" s="34"/>
      <c r="L17" s="34"/>
      <c r="M17" s="34"/>
      <c r="N17" s="34"/>
      <c r="O17" s="34"/>
      <c r="P17" s="34"/>
    </row>
    <row r="18" spans="3:18" x14ac:dyDescent="0.2">
      <c r="G18" s="34"/>
      <c r="H18" s="34"/>
      <c r="I18" s="34"/>
      <c r="J18" s="34"/>
      <c r="K18" s="34"/>
      <c r="L18" s="34"/>
      <c r="M18" s="34"/>
      <c r="N18" s="34"/>
      <c r="O18" s="34"/>
      <c r="P18" s="34"/>
    </row>
    <row r="19" spans="3:18" x14ac:dyDescent="0.2">
      <c r="E19" s="52" t="s">
        <v>89</v>
      </c>
      <c r="G19" s="34" cm="1">
        <f t="array" ref="G19:P28">(_xlfn.ANCHORARRAY(G12)&gt;=TRANSPOSE(_xlfn.ANCHORARRAY(G12)))*1</f>
        <v>1</v>
      </c>
      <c r="H19" s="34">
        <v>1</v>
      </c>
      <c r="I19" s="34">
        <v>1</v>
      </c>
      <c r="J19" s="34">
        <v>1</v>
      </c>
      <c r="K19" s="34">
        <v>1</v>
      </c>
      <c r="L19" s="34">
        <v>1</v>
      </c>
      <c r="M19" s="34">
        <v>1</v>
      </c>
      <c r="N19" s="34">
        <v>1</v>
      </c>
      <c r="O19" s="34">
        <v>1</v>
      </c>
      <c r="P19" s="34">
        <v>1</v>
      </c>
    </row>
    <row r="20" spans="3:18" x14ac:dyDescent="0.2">
      <c r="G20" s="34">
        <v>0</v>
      </c>
      <c r="H20" s="34">
        <v>1</v>
      </c>
      <c r="I20" s="34">
        <v>1</v>
      </c>
      <c r="J20" s="34">
        <v>1</v>
      </c>
      <c r="K20" s="34">
        <v>1</v>
      </c>
      <c r="L20" s="34">
        <v>1</v>
      </c>
      <c r="M20" s="34">
        <v>1</v>
      </c>
      <c r="N20" s="34">
        <v>1</v>
      </c>
      <c r="O20" s="34">
        <v>1</v>
      </c>
      <c r="P20" s="34">
        <v>1</v>
      </c>
    </row>
    <row r="21" spans="3:18" x14ac:dyDescent="0.2">
      <c r="G21" s="34">
        <v>0</v>
      </c>
      <c r="H21" s="34">
        <v>0</v>
      </c>
      <c r="I21" s="34">
        <v>1</v>
      </c>
      <c r="J21" s="34">
        <v>1</v>
      </c>
      <c r="K21" s="34">
        <v>1</v>
      </c>
      <c r="L21" s="34">
        <v>1</v>
      </c>
      <c r="M21" s="34">
        <v>1</v>
      </c>
      <c r="N21" s="34">
        <v>1</v>
      </c>
      <c r="O21" s="34">
        <v>1</v>
      </c>
      <c r="P21" s="34">
        <v>1</v>
      </c>
    </row>
    <row r="22" spans="3:18" x14ac:dyDescent="0.2">
      <c r="G22" s="34">
        <v>0</v>
      </c>
      <c r="H22" s="34">
        <v>0</v>
      </c>
      <c r="I22" s="34">
        <v>0</v>
      </c>
      <c r="J22" s="34">
        <v>1</v>
      </c>
      <c r="K22" s="34">
        <v>1</v>
      </c>
      <c r="L22" s="34">
        <v>1</v>
      </c>
      <c r="M22" s="34">
        <v>1</v>
      </c>
      <c r="N22" s="34">
        <v>1</v>
      </c>
      <c r="O22" s="34">
        <v>1</v>
      </c>
      <c r="P22" s="34">
        <v>1</v>
      </c>
    </row>
    <row r="23" spans="3:18" x14ac:dyDescent="0.2">
      <c r="G23" s="34">
        <v>0</v>
      </c>
      <c r="H23" s="34">
        <v>0</v>
      </c>
      <c r="I23" s="34">
        <v>0</v>
      </c>
      <c r="J23" s="34">
        <v>0</v>
      </c>
      <c r="K23" s="34">
        <v>1</v>
      </c>
      <c r="L23" s="34">
        <v>1</v>
      </c>
      <c r="M23" s="34">
        <v>1</v>
      </c>
      <c r="N23" s="34">
        <v>1</v>
      </c>
      <c r="O23" s="34">
        <v>1</v>
      </c>
      <c r="P23" s="34">
        <v>1</v>
      </c>
    </row>
    <row r="24" spans="3:18" x14ac:dyDescent="0.2"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34">
        <v>1</v>
      </c>
      <c r="M24" s="34">
        <v>1</v>
      </c>
      <c r="N24" s="34">
        <v>1</v>
      </c>
      <c r="O24" s="34">
        <v>1</v>
      </c>
      <c r="P24" s="34">
        <v>1</v>
      </c>
    </row>
    <row r="25" spans="3:18" x14ac:dyDescent="0.2"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34">
        <v>0</v>
      </c>
      <c r="M25" s="34">
        <v>1</v>
      </c>
      <c r="N25" s="34">
        <v>1</v>
      </c>
      <c r="O25" s="34">
        <v>1</v>
      </c>
      <c r="P25" s="34">
        <v>1</v>
      </c>
    </row>
    <row r="26" spans="3:18" x14ac:dyDescent="0.2"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34">
        <v>0</v>
      </c>
      <c r="M26" s="34">
        <v>0</v>
      </c>
      <c r="N26" s="34">
        <v>1</v>
      </c>
      <c r="O26" s="34">
        <v>1</v>
      </c>
      <c r="P26" s="34">
        <v>1</v>
      </c>
    </row>
    <row r="27" spans="3:18" x14ac:dyDescent="0.2"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34">
        <v>0</v>
      </c>
      <c r="M27" s="34">
        <v>0</v>
      </c>
      <c r="N27" s="34">
        <v>0</v>
      </c>
      <c r="O27" s="34">
        <v>1</v>
      </c>
      <c r="P27" s="34">
        <v>1</v>
      </c>
    </row>
    <row r="28" spans="3:18" x14ac:dyDescent="0.2"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34">
        <v>0</v>
      </c>
      <c r="M28" s="34">
        <v>0</v>
      </c>
      <c r="N28" s="34">
        <v>0</v>
      </c>
      <c r="O28" s="34">
        <v>0</v>
      </c>
      <c r="P28" s="34">
        <v>1</v>
      </c>
    </row>
    <row r="29" spans="3:18" x14ac:dyDescent="0.2">
      <c r="G29" s="34"/>
      <c r="H29" s="34"/>
      <c r="I29" s="34"/>
      <c r="J29" s="34"/>
      <c r="K29" s="34"/>
      <c r="L29" s="34"/>
      <c r="M29" s="34"/>
      <c r="N29" s="34"/>
      <c r="O29" s="34"/>
      <c r="P29" s="34"/>
    </row>
    <row r="30" spans="3:18" x14ac:dyDescent="0.2">
      <c r="E30" s="52"/>
      <c r="G30" s="34"/>
      <c r="H30" s="34"/>
      <c r="I30" s="34"/>
      <c r="J30" s="34"/>
      <c r="K30" s="34"/>
      <c r="L30" s="34"/>
      <c r="M30" s="34"/>
      <c r="N30" s="34"/>
      <c r="O30" s="34"/>
      <c r="P30" s="34"/>
    </row>
    <row r="31" spans="3:18" x14ac:dyDescent="0.2">
      <c r="E31" t="s">
        <v>90</v>
      </c>
      <c r="G31" s="34" cm="1">
        <f t="array" aca="1" ref="G31:P31" ca="1">MMULT(_xlfn.ANCHORARRAY(G15),_xlfn.ANCHORARRAY(G19))</f>
        <v>2</v>
      </c>
      <c r="H31" s="34">
        <f ca="1"/>
        <v>8</v>
      </c>
      <c r="I31" s="34">
        <f ca="1"/>
        <v>14</v>
      </c>
      <c r="J31" s="34">
        <f ca="1"/>
        <v>23</v>
      </c>
      <c r="K31" s="34">
        <f ca="1"/>
        <v>31</v>
      </c>
      <c r="L31" s="34">
        <f ca="1"/>
        <v>37</v>
      </c>
      <c r="M31" s="34">
        <f ca="1"/>
        <v>39</v>
      </c>
      <c r="N31" s="34">
        <f ca="1"/>
        <v>46</v>
      </c>
      <c r="O31" s="34">
        <f ca="1"/>
        <v>56</v>
      </c>
      <c r="P31" s="34">
        <f ca="1"/>
        <v>63</v>
      </c>
      <c r="R31" s="56"/>
    </row>
    <row r="32" spans="3:18" x14ac:dyDescent="0.2">
      <c r="G32" s="34"/>
      <c r="H32" s="34"/>
      <c r="I32" s="34"/>
      <c r="J32" s="34"/>
      <c r="K32" s="34"/>
      <c r="L32" s="34"/>
      <c r="M32" s="34"/>
      <c r="N32" s="34"/>
      <c r="O32" s="34"/>
      <c r="P32" s="34"/>
    </row>
    <row r="33" spans="3:16" x14ac:dyDescent="0.2">
      <c r="G33" s="34"/>
      <c r="H33" s="34"/>
      <c r="I33" s="34"/>
      <c r="J33" s="34"/>
      <c r="K33" s="34"/>
      <c r="L33" s="34"/>
      <c r="M33" s="34"/>
      <c r="N33" s="34"/>
      <c r="O33" s="34"/>
      <c r="P33" s="34"/>
    </row>
    <row r="34" spans="3:16" x14ac:dyDescent="0.2">
      <c r="E34" t="s">
        <v>91</v>
      </c>
      <c r="G34" s="34" cm="1">
        <f t="array" aca="1" ref="G34:P34" ca="1">SUBTOTAL(9,OFFSET(_xlfn.ANCHORARRAY(G15),0,0,1,_xlfn.SEQUENCE(,Number_of_Periods)))</f>
        <v>2</v>
      </c>
      <c r="H34" s="34">
        <f ca="1"/>
        <v>8</v>
      </c>
      <c r="I34" s="34">
        <f ca="1"/>
        <v>14</v>
      </c>
      <c r="J34" s="34">
        <f ca="1"/>
        <v>23</v>
      </c>
      <c r="K34" s="34">
        <f ca="1"/>
        <v>31</v>
      </c>
      <c r="L34" s="34">
        <f ca="1"/>
        <v>37</v>
      </c>
      <c r="M34" s="34">
        <f ca="1"/>
        <v>39</v>
      </c>
      <c r="N34" s="34">
        <f ca="1"/>
        <v>46</v>
      </c>
      <c r="O34" s="34">
        <f ca="1"/>
        <v>56</v>
      </c>
      <c r="P34" s="34">
        <f ca="1"/>
        <v>63</v>
      </c>
    </row>
    <row r="35" spans="3:16" x14ac:dyDescent="0.2">
      <c r="G35" s="34"/>
      <c r="H35" s="34"/>
      <c r="I35" s="34"/>
      <c r="J35" s="34"/>
      <c r="K35" s="34"/>
      <c r="L35" s="34"/>
      <c r="M35" s="34"/>
      <c r="N35" s="34"/>
      <c r="O35" s="34"/>
      <c r="P35" s="34"/>
    </row>
    <row r="36" spans="3:16" x14ac:dyDescent="0.2">
      <c r="G36" s="34"/>
      <c r="H36" s="34"/>
      <c r="I36" s="34"/>
      <c r="J36" s="34"/>
      <c r="K36" s="34"/>
      <c r="L36" s="34"/>
      <c r="M36" s="34"/>
      <c r="N36" s="34"/>
      <c r="O36" s="34"/>
      <c r="P36" s="34"/>
    </row>
    <row r="37" spans="3:16" x14ac:dyDescent="0.2">
      <c r="E37" t="s">
        <v>92</v>
      </c>
      <c r="G37" s="34">
        <f t="array" ref="G37:P37" ca="1">SUM(OFFSET(_xlfn.ANCHORARRAY(G15),0,0,1,_xlfn.SEQUENCE(,Number_of_Periods)))</f>
        <v>2</v>
      </c>
      <c r="H37" s="34">
        <f ca="1"/>
        <v>8</v>
      </c>
      <c r="I37" s="34">
        <f ca="1"/>
        <v>14</v>
      </c>
      <c r="J37" s="34">
        <f ca="1"/>
        <v>23</v>
      </c>
      <c r="K37" s="34">
        <f ca="1"/>
        <v>31</v>
      </c>
      <c r="L37" s="34">
        <f ca="1"/>
        <v>37</v>
      </c>
      <c r="M37" s="34">
        <f ca="1"/>
        <v>39</v>
      </c>
      <c r="N37" s="34">
        <f ca="1"/>
        <v>46</v>
      </c>
      <c r="O37" s="34">
        <f ca="1"/>
        <v>56</v>
      </c>
      <c r="P37" s="34">
        <f ca="1"/>
        <v>63</v>
      </c>
    </row>
    <row r="38" spans="3:16" x14ac:dyDescent="0.2">
      <c r="G38" s="34"/>
      <c r="H38" s="34"/>
      <c r="I38" s="34"/>
      <c r="J38" s="34"/>
      <c r="K38" s="34"/>
      <c r="L38" s="34"/>
      <c r="M38" s="34"/>
      <c r="N38" s="34"/>
      <c r="O38" s="34"/>
      <c r="P38" s="34"/>
    </row>
    <row r="39" spans="3:16" x14ac:dyDescent="0.2">
      <c r="G39" s="34"/>
      <c r="H39" s="34"/>
      <c r="I39" s="34"/>
      <c r="J39" s="34"/>
      <c r="K39" s="34"/>
      <c r="L39" s="34"/>
      <c r="M39" s="34"/>
      <c r="N39" s="34"/>
      <c r="O39" s="34"/>
      <c r="P39" s="34"/>
    </row>
    <row r="40" spans="3:16" ht="16.5" x14ac:dyDescent="0.25">
      <c r="C40" s="3" t="s">
        <v>93</v>
      </c>
      <c r="D40" s="3"/>
      <c r="G40" s="34"/>
      <c r="H40" s="34"/>
      <c r="I40" s="34"/>
      <c r="J40" s="34"/>
      <c r="K40" s="34"/>
      <c r="L40" s="34"/>
      <c r="M40" s="34"/>
      <c r="N40" s="34"/>
      <c r="O40" s="34"/>
      <c r="P40" s="34"/>
    </row>
    <row r="41" spans="3:16" x14ac:dyDescent="0.2">
      <c r="G41" s="34"/>
      <c r="H41" s="34"/>
      <c r="I41" s="34"/>
      <c r="J41" s="34"/>
      <c r="K41" s="34"/>
      <c r="L41" s="34"/>
      <c r="M41" s="34"/>
      <c r="N41" s="34"/>
      <c r="O41" s="34"/>
      <c r="P41" s="34"/>
    </row>
    <row r="42" spans="3:16" x14ac:dyDescent="0.2">
      <c r="E42" s="52" t="s">
        <v>89</v>
      </c>
      <c r="G42" s="34" cm="1">
        <f t="array" ref="G42:P51">(_xlfn.ANCHORARRAY(G12)&gt;=TRANSPOSE(_xlfn.ANCHORARRAY(G12)))*1</f>
        <v>1</v>
      </c>
      <c r="H42" s="34">
        <v>1</v>
      </c>
      <c r="I42" s="34">
        <v>1</v>
      </c>
      <c r="J42" s="34">
        <v>1</v>
      </c>
      <c r="K42" s="34">
        <v>1</v>
      </c>
      <c r="L42" s="34">
        <v>1</v>
      </c>
      <c r="M42" s="34">
        <v>1</v>
      </c>
      <c r="N42" s="34">
        <v>1</v>
      </c>
      <c r="O42" s="34">
        <v>1</v>
      </c>
      <c r="P42" s="34">
        <v>1</v>
      </c>
    </row>
    <row r="43" spans="3:16" x14ac:dyDescent="0.2">
      <c r="G43" s="34">
        <v>0</v>
      </c>
      <c r="H43" s="34">
        <v>1</v>
      </c>
      <c r="I43" s="34">
        <v>1</v>
      </c>
      <c r="J43" s="34">
        <v>1</v>
      </c>
      <c r="K43" s="34">
        <v>1</v>
      </c>
      <c r="L43" s="34">
        <v>1</v>
      </c>
      <c r="M43" s="34">
        <v>1</v>
      </c>
      <c r="N43" s="34">
        <v>1</v>
      </c>
      <c r="O43" s="34">
        <v>1</v>
      </c>
      <c r="P43" s="34">
        <v>1</v>
      </c>
    </row>
    <row r="44" spans="3:16" x14ac:dyDescent="0.2">
      <c r="G44" s="34">
        <v>0</v>
      </c>
      <c r="H44" s="34">
        <v>0</v>
      </c>
      <c r="I44" s="34">
        <v>1</v>
      </c>
      <c r="J44" s="34">
        <v>1</v>
      </c>
      <c r="K44" s="34">
        <v>1</v>
      </c>
      <c r="L44" s="34">
        <v>1</v>
      </c>
      <c r="M44" s="34">
        <v>1</v>
      </c>
      <c r="N44" s="34">
        <v>1</v>
      </c>
      <c r="O44" s="34">
        <v>1</v>
      </c>
      <c r="P44" s="34">
        <v>1</v>
      </c>
    </row>
    <row r="45" spans="3:16" x14ac:dyDescent="0.2">
      <c r="G45" s="34">
        <v>0</v>
      </c>
      <c r="H45" s="34">
        <v>0</v>
      </c>
      <c r="I45" s="34">
        <v>0</v>
      </c>
      <c r="J45" s="34">
        <v>1</v>
      </c>
      <c r="K45" s="34">
        <v>1</v>
      </c>
      <c r="L45" s="34">
        <v>1</v>
      </c>
      <c r="M45" s="34">
        <v>1</v>
      </c>
      <c r="N45" s="34">
        <v>1</v>
      </c>
      <c r="O45" s="34">
        <v>1</v>
      </c>
      <c r="P45" s="34">
        <v>1</v>
      </c>
    </row>
    <row r="46" spans="3:16" x14ac:dyDescent="0.2">
      <c r="G46" s="34">
        <v>0</v>
      </c>
      <c r="H46" s="34">
        <v>0</v>
      </c>
      <c r="I46" s="34">
        <v>0</v>
      </c>
      <c r="J46" s="34">
        <v>0</v>
      </c>
      <c r="K46" s="34">
        <v>1</v>
      </c>
      <c r="L46" s="34">
        <v>1</v>
      </c>
      <c r="M46" s="34">
        <v>1</v>
      </c>
      <c r="N46" s="34">
        <v>1</v>
      </c>
      <c r="O46" s="34">
        <v>1</v>
      </c>
      <c r="P46" s="34">
        <v>1</v>
      </c>
    </row>
    <row r="47" spans="3:16" x14ac:dyDescent="0.2">
      <c r="G47" s="34">
        <v>0</v>
      </c>
      <c r="H47" s="34">
        <v>0</v>
      </c>
      <c r="I47" s="34">
        <v>0</v>
      </c>
      <c r="J47" s="34">
        <v>0</v>
      </c>
      <c r="K47" s="34">
        <v>0</v>
      </c>
      <c r="L47" s="34">
        <v>1</v>
      </c>
      <c r="M47" s="34">
        <v>1</v>
      </c>
      <c r="N47" s="34">
        <v>1</v>
      </c>
      <c r="O47" s="34">
        <v>1</v>
      </c>
      <c r="P47" s="34">
        <v>1</v>
      </c>
    </row>
    <row r="48" spans="3:16" x14ac:dyDescent="0.2">
      <c r="G48" s="34">
        <v>0</v>
      </c>
      <c r="H48" s="34">
        <v>0</v>
      </c>
      <c r="I48" s="34">
        <v>0</v>
      </c>
      <c r="J48" s="34">
        <v>0</v>
      </c>
      <c r="K48" s="34">
        <v>0</v>
      </c>
      <c r="L48" s="34">
        <v>0</v>
      </c>
      <c r="M48" s="34">
        <v>1</v>
      </c>
      <c r="N48" s="34">
        <v>1</v>
      </c>
      <c r="O48" s="34">
        <v>1</v>
      </c>
      <c r="P48" s="34">
        <v>1</v>
      </c>
    </row>
    <row r="49" spans="3:16" x14ac:dyDescent="0.2">
      <c r="G49" s="34">
        <v>0</v>
      </c>
      <c r="H49" s="34">
        <v>0</v>
      </c>
      <c r="I49" s="34">
        <v>0</v>
      </c>
      <c r="J49" s="34">
        <v>0</v>
      </c>
      <c r="K49" s="34">
        <v>0</v>
      </c>
      <c r="L49" s="34">
        <v>0</v>
      </c>
      <c r="M49" s="34">
        <v>0</v>
      </c>
      <c r="N49" s="34">
        <v>1</v>
      </c>
      <c r="O49" s="34">
        <v>1</v>
      </c>
      <c r="P49" s="34">
        <v>1</v>
      </c>
    </row>
    <row r="50" spans="3:16" x14ac:dyDescent="0.2">
      <c r="G50" s="34">
        <v>0</v>
      </c>
      <c r="H50" s="34">
        <v>0</v>
      </c>
      <c r="I50" s="34">
        <v>0</v>
      </c>
      <c r="J50" s="34">
        <v>0</v>
      </c>
      <c r="K50" s="34">
        <v>0</v>
      </c>
      <c r="L50" s="34">
        <v>0</v>
      </c>
      <c r="M50" s="34">
        <v>0</v>
      </c>
      <c r="N50" s="34">
        <v>0</v>
      </c>
      <c r="O50" s="34">
        <v>1</v>
      </c>
      <c r="P50" s="34">
        <v>1</v>
      </c>
    </row>
    <row r="51" spans="3:16" x14ac:dyDescent="0.2">
      <c r="G51" s="34">
        <v>0</v>
      </c>
      <c r="H51" s="34">
        <v>0</v>
      </c>
      <c r="I51" s="34">
        <v>0</v>
      </c>
      <c r="J51" s="34">
        <v>0</v>
      </c>
      <c r="K51" s="34">
        <v>0</v>
      </c>
      <c r="L51" s="34">
        <v>0</v>
      </c>
      <c r="M51" s="34">
        <v>0</v>
      </c>
      <c r="N51" s="34">
        <v>0</v>
      </c>
      <c r="O51" s="34">
        <v>0</v>
      </c>
      <c r="P51" s="34">
        <v>1</v>
      </c>
    </row>
    <row r="52" spans="3:16" x14ac:dyDescent="0.2">
      <c r="G52" s="34"/>
      <c r="H52" s="34"/>
      <c r="I52" s="34"/>
      <c r="J52" s="34"/>
      <c r="K52" s="34"/>
      <c r="L52" s="34"/>
      <c r="M52" s="34"/>
      <c r="N52" s="34"/>
      <c r="O52" s="34"/>
      <c r="P52" s="34"/>
    </row>
    <row r="53" spans="3:16" x14ac:dyDescent="0.2">
      <c r="H53" s="34"/>
      <c r="I53" s="34"/>
      <c r="J53" s="34"/>
      <c r="K53" s="34"/>
      <c r="L53" s="34"/>
      <c r="M53" s="34"/>
      <c r="N53" s="34"/>
      <c r="O53" s="34"/>
      <c r="P53" s="34"/>
    </row>
    <row r="54" spans="3:16" x14ac:dyDescent="0.2">
      <c r="E54" t="s">
        <v>94</v>
      </c>
      <c r="G54" s="51" cm="1">
        <f t="array" aca="1" ref="G54:P54" ca="1">IF(_xlfn.ANCHORARRAY(G15)=0,0,LN(_xlfn.ANCHORARRAY(G15)))</f>
        <v>0.69314718055994529</v>
      </c>
      <c r="H54" s="51">
        <f ca="1"/>
        <v>1.791759469228055</v>
      </c>
      <c r="I54" s="51">
        <f ca="1"/>
        <v>1.791759469228055</v>
      </c>
      <c r="J54" s="51">
        <f ca="1"/>
        <v>2.1972245773362196</v>
      </c>
      <c r="K54" s="51">
        <f ca="1"/>
        <v>2.0794415416798357</v>
      </c>
      <c r="L54" s="51">
        <f ca="1"/>
        <v>1.791759469228055</v>
      </c>
      <c r="M54" s="51">
        <f ca="1"/>
        <v>0.69314718055994529</v>
      </c>
      <c r="N54" s="51">
        <f ca="1"/>
        <v>1.9459101490553132</v>
      </c>
      <c r="O54" s="51">
        <f ca="1"/>
        <v>2.3025850929940459</v>
      </c>
      <c r="P54" s="51">
        <f ca="1"/>
        <v>1.9459101490553132</v>
      </c>
    </row>
    <row r="55" spans="3:16" x14ac:dyDescent="0.2">
      <c r="G55" s="51"/>
      <c r="H55" s="51"/>
      <c r="I55" s="51"/>
      <c r="J55" s="51"/>
      <c r="K55" s="51"/>
      <c r="L55" s="51"/>
      <c r="M55" s="51"/>
      <c r="N55" s="51"/>
      <c r="O55" s="51"/>
      <c r="P55" s="51"/>
    </row>
    <row r="56" spans="3:16" x14ac:dyDescent="0.2">
      <c r="E56" t="s">
        <v>95</v>
      </c>
      <c r="G56" s="51" cm="1">
        <f t="array" aca="1" ref="G56:P56" ca="1">MMULT(_xlfn.ANCHORARRAY(G54),_xlfn.ANCHORARRAY(G42))</f>
        <v>0.69314718055994529</v>
      </c>
      <c r="H56" s="51">
        <f ca="1"/>
        <v>2.4849066497880004</v>
      </c>
      <c r="I56" s="51">
        <f ca="1"/>
        <v>4.2766661190160553</v>
      </c>
      <c r="J56" s="51">
        <f ca="1"/>
        <v>6.4738906963522744</v>
      </c>
      <c r="K56" s="51">
        <f ca="1"/>
        <v>8.5533322380321106</v>
      </c>
      <c r="L56" s="51">
        <f ca="1"/>
        <v>10.345091707260165</v>
      </c>
      <c r="M56" s="51">
        <f ca="1"/>
        <v>11.038238887820111</v>
      </c>
      <c r="N56" s="51">
        <f ca="1"/>
        <v>12.984149036875424</v>
      </c>
      <c r="O56" s="51">
        <f ca="1"/>
        <v>15.286734129869469</v>
      </c>
      <c r="P56" s="51">
        <f ca="1"/>
        <v>17.232644278924781</v>
      </c>
    </row>
    <row r="58" spans="3:16" x14ac:dyDescent="0.2">
      <c r="E58" t="s">
        <v>96</v>
      </c>
      <c r="G58" s="34" cm="1">
        <f t="array" aca="1" ref="G58:P58" ca="1">EXP(_xlfn.ANCHORARRAY(G56))</f>
        <v>2</v>
      </c>
      <c r="H58" s="34">
        <f ca="1"/>
        <v>12</v>
      </c>
      <c r="I58" s="34">
        <f ca="1"/>
        <v>72</v>
      </c>
      <c r="J58" s="34">
        <f ca="1"/>
        <v>647.99999999999989</v>
      </c>
      <c r="K58" s="34">
        <f ca="1"/>
        <v>5184</v>
      </c>
      <c r="L58" s="34">
        <f ca="1"/>
        <v>31103.999999999985</v>
      </c>
      <c r="M58" s="34">
        <f ca="1"/>
        <v>62207.999999999978</v>
      </c>
      <c r="N58" s="34">
        <f ca="1"/>
        <v>435455.99999999988</v>
      </c>
      <c r="O58" s="34">
        <f ca="1"/>
        <v>4354559.9999999963</v>
      </c>
      <c r="P58" s="34">
        <f ca="1"/>
        <v>30481919.999999922</v>
      </c>
    </row>
    <row r="61" spans="3:16" ht="16.5" x14ac:dyDescent="0.25">
      <c r="C61" s="3" t="s">
        <v>97</v>
      </c>
    </row>
    <row r="63" spans="3:16" x14ac:dyDescent="0.2">
      <c r="E63" t="s">
        <v>98</v>
      </c>
      <c r="G63" s="34" cm="1">
        <f t="array" aca="1" ref="G63:P63" ca="1">ROUNDUP(_xlfn.SEQUENCE(ROWS(_xlfn.ANCHORARRAY(G15)),COLUMNS(_xlfn.ANCHORARRAY(G15)))/COLUMNS(_xlfn.ANCHORARRAY(G15)),0)</f>
        <v>1</v>
      </c>
      <c r="H63" s="34">
        <f ca="1"/>
        <v>1</v>
      </c>
      <c r="I63" s="34">
        <f ca="1"/>
        <v>1</v>
      </c>
      <c r="J63" s="34">
        <f ca="1"/>
        <v>1</v>
      </c>
      <c r="K63" s="34">
        <f ca="1"/>
        <v>1</v>
      </c>
      <c r="L63" s="34">
        <f ca="1"/>
        <v>1</v>
      </c>
      <c r="M63" s="34">
        <f ca="1"/>
        <v>1</v>
      </c>
      <c r="N63" s="34">
        <f ca="1"/>
        <v>1</v>
      </c>
      <c r="O63" s="34">
        <f ca="1"/>
        <v>1</v>
      </c>
      <c r="P63" s="34">
        <f ca="1"/>
        <v>1</v>
      </c>
    </row>
    <row r="66" spans="5:16" x14ac:dyDescent="0.2">
      <c r="E66" t="s">
        <v>99</v>
      </c>
      <c r="G66" s="34" cm="1">
        <f t="array" aca="1" ref="G66:P66" ca="1">MOD(_xlfn.SEQUENCE(ROWS(_xlfn.ANCHORARRAY(G15)),COLUMNS(_xlfn.ANCHORARRAY(G15)))-1,COLUMNS(_xlfn.ANCHORARRAY(G15)))+1</f>
        <v>1</v>
      </c>
      <c r="H66" s="34">
        <f ca="1"/>
        <v>2</v>
      </c>
      <c r="I66" s="34">
        <f ca="1"/>
        <v>3</v>
      </c>
      <c r="J66" s="34">
        <f ca="1"/>
        <v>4</v>
      </c>
      <c r="K66" s="34">
        <f ca="1"/>
        <v>5</v>
      </c>
      <c r="L66" s="34">
        <f ca="1"/>
        <v>6</v>
      </c>
      <c r="M66" s="34">
        <f ca="1"/>
        <v>7</v>
      </c>
      <c r="N66" s="34">
        <f ca="1"/>
        <v>8</v>
      </c>
      <c r="O66" s="34">
        <f ca="1"/>
        <v>9</v>
      </c>
      <c r="P66" s="34">
        <f ca="1"/>
        <v>10</v>
      </c>
    </row>
    <row r="69" spans="5:16" x14ac:dyDescent="0.2">
      <c r="E69" t="s">
        <v>100</v>
      </c>
      <c r="G69" cm="1">
        <f t="array" aca="1" ref="G69:P69" ca="1">_xlfn.MAXIFS(_xlfn.ANCHORARRAY(G15),_xlfn.ANCHORARRAY(G66),"&lt;="&amp;_xlfn.ANCHORARRAY(G12))</f>
        <v>2</v>
      </c>
      <c r="H69">
        <f ca="1"/>
        <v>6</v>
      </c>
      <c r="I69">
        <f ca="1"/>
        <v>6</v>
      </c>
      <c r="J69">
        <f ca="1"/>
        <v>9</v>
      </c>
      <c r="K69">
        <f ca="1"/>
        <v>9</v>
      </c>
      <c r="L69">
        <f ca="1"/>
        <v>9</v>
      </c>
      <c r="M69">
        <f ca="1"/>
        <v>9</v>
      </c>
      <c r="N69">
        <f ca="1"/>
        <v>9</v>
      </c>
      <c r="O69">
        <f ca="1"/>
        <v>10</v>
      </c>
      <c r="P69">
        <f ca="1"/>
        <v>10</v>
      </c>
    </row>
    <row r="72" spans="5:16" x14ac:dyDescent="0.2">
      <c r="E72" t="s">
        <v>101</v>
      </c>
      <c r="G72" cm="1">
        <f t="array" aca="1" ref="G72:P72" ca="1">_xlfn.MINIFS(_xlfn.ANCHORARRAY(G15),_xlfn.ANCHORARRAY(G66),"&lt;="&amp;_xlfn.ANCHORARRAY(G12))</f>
        <v>2</v>
      </c>
      <c r="H72">
        <f ca="1"/>
        <v>2</v>
      </c>
      <c r="I72">
        <f ca="1"/>
        <v>2</v>
      </c>
      <c r="J72">
        <f ca="1"/>
        <v>2</v>
      </c>
      <c r="K72">
        <f ca="1"/>
        <v>2</v>
      </c>
      <c r="L72">
        <f ca="1"/>
        <v>2</v>
      </c>
      <c r="M72">
        <f ca="1"/>
        <v>2</v>
      </c>
      <c r="N72">
        <f ca="1"/>
        <v>2</v>
      </c>
      <c r="O72">
        <f ca="1"/>
        <v>2</v>
      </c>
      <c r="P72">
        <f ca="1"/>
        <v>2</v>
      </c>
    </row>
    <row r="75" spans="5:16" x14ac:dyDescent="0.2">
      <c r="E75" t="s">
        <v>102</v>
      </c>
      <c r="G75" cm="1">
        <f t="array" aca="1" ref="G75:P75" ca="1">COUNTIFS(_xlfn.ANCHORARRAY(G15),_xlfn.ANCHORARRAY(G15),_xlfn.ANCHORARRAY(G66),"&lt;="&amp;_xlfn.ANCHORARRAY(G12))</f>
        <v>1</v>
      </c>
      <c r="H75">
        <f ca="1"/>
        <v>1</v>
      </c>
      <c r="I75">
        <f ca="1"/>
        <v>2</v>
      </c>
      <c r="J75">
        <f ca="1"/>
        <v>1</v>
      </c>
      <c r="K75">
        <f ca="1"/>
        <v>1</v>
      </c>
      <c r="L75">
        <f ca="1"/>
        <v>3</v>
      </c>
      <c r="M75">
        <f ca="1"/>
        <v>2</v>
      </c>
      <c r="N75">
        <f ca="1"/>
        <v>1</v>
      </c>
      <c r="O75">
        <f ca="1"/>
        <v>1</v>
      </c>
      <c r="P75">
        <f ca="1"/>
        <v>2</v>
      </c>
    </row>
    <row r="78" spans="5:16" x14ac:dyDescent="0.2">
      <c r="E78" t="s">
        <v>103</v>
      </c>
      <c r="G78" s="51" cm="1">
        <f t="array" aca="1" ref="G78:P78" ca="1">AVERAGEIFS(_xlfn.ANCHORARRAY(G15),_xlfn.ANCHORARRAY(G66),"&lt;="&amp;_xlfn.ANCHORARRAY(G12))</f>
        <v>2</v>
      </c>
      <c r="H78" s="51">
        <f ca="1"/>
        <v>4</v>
      </c>
      <c r="I78" s="51">
        <f ca="1"/>
        <v>4.666666666666667</v>
      </c>
      <c r="J78" s="51">
        <f ca="1"/>
        <v>5.75</v>
      </c>
      <c r="K78" s="51">
        <f ca="1"/>
        <v>6.2</v>
      </c>
      <c r="L78" s="51">
        <f ca="1"/>
        <v>6.166666666666667</v>
      </c>
      <c r="M78" s="51">
        <f ca="1"/>
        <v>5.5714285714285712</v>
      </c>
      <c r="N78" s="51">
        <f ca="1"/>
        <v>5.75</v>
      </c>
      <c r="O78" s="51">
        <f ca="1"/>
        <v>6.2222222222222223</v>
      </c>
      <c r="P78" s="51">
        <f ca="1"/>
        <v>6.3</v>
      </c>
    </row>
  </sheetData>
  <mergeCells count="1">
    <mergeCell ref="A3:F3"/>
  </mergeCells>
  <conditionalFormatting sqref="G4">
    <cfRule type="cellIs" dxfId="2" priority="1" operator="notEqual">
      <formula>0</formula>
    </cfRule>
  </conditionalFormatting>
  <hyperlinks>
    <hyperlink ref="G4" location="Overall_Error_Check" tooltip="Go to Overall Error Check" display="Overall_Error_Check" xr:uid="{E395ABF2-1643-4CB8-98E3-25902EA8AD2D}"/>
    <hyperlink ref="A3:F3" location="HL_Navigator" tooltip="Go to Navigator (Table of Contents)" display="Navigator" xr:uid="{100BDC99-3311-474E-A476-C53A9939CF65}"/>
    <hyperlink ref="A3" location="HL_Navigator" display="Navigator" xr:uid="{FBA9B922-67DF-4029-8D3F-6D0D08B4BB72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S323"/>
  <sheetViews>
    <sheetView showGridLines="0" zoomScaleNormal="100" workbookViewId="0">
      <pane ySplit="4" topLeftCell="A5" activePane="bottomLeft" state="frozen"/>
      <selection activeCell="C17" sqref="C17:J17"/>
      <selection pane="bottomLeft" activeCell="A5" sqref="A5"/>
    </sheetView>
  </sheetViews>
  <sheetFormatPr defaultRowHeight="12" x14ac:dyDescent="0.2"/>
  <cols>
    <col min="1" max="4" width="3.7109375" customWidth="1"/>
    <col min="5" max="5" width="15.5703125" customWidth="1"/>
    <col min="6" max="15" width="10.42578125" customWidth="1"/>
    <col min="16" max="16" width="11" bestFit="1" customWidth="1"/>
  </cols>
  <sheetData>
    <row r="1" spans="1:17" ht="20.25" x14ac:dyDescent="0.3">
      <c r="A1" s="41" t="str">
        <f ca="1">IF(ISERROR(RIGHT(CELL("filename"),LEN(CELL("filename"))-FIND("]",CELL("filename")))),
"",
RIGHT(CELL("filename"),LEN(CELL("filename"))-FIND("]",CELL("filename"))))</f>
        <v>Navigator</v>
      </c>
      <c r="L1" s="11"/>
    </row>
    <row r="2" spans="1:17" ht="18" x14ac:dyDescent="0.25">
      <c r="A2" s="42" t="str">
        <f ca="1">Model_Name</f>
        <v>SP Matrix Manipulation SN0.09.xlsm</v>
      </c>
    </row>
    <row r="3" spans="1:17" x14ac:dyDescent="0.2">
      <c r="A3" s="60" t="s">
        <v>0</v>
      </c>
      <c r="B3" s="60"/>
      <c r="C3" s="60"/>
      <c r="D3" s="60"/>
      <c r="E3" s="60"/>
      <c r="F3" s="60"/>
    </row>
    <row r="4" spans="1:17" ht="14.25" x14ac:dyDescent="0.2">
      <c r="B4" t="s">
        <v>8</v>
      </c>
      <c r="G4" s="1">
        <f>Overall_Error_Check</f>
        <v>0</v>
      </c>
    </row>
    <row r="5" spans="1:17" x14ac:dyDescent="0.2">
      <c r="A5" s="11"/>
    </row>
    <row r="6" spans="1:17" ht="16.5" thickBot="1" x14ac:dyDescent="0.3">
      <c r="B6" s="43">
        <f>MAX($B$5:$B5)+1</f>
        <v>1</v>
      </c>
      <c r="C6" s="2" t="str">
        <f ca="1">A1</f>
        <v>Navigator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ht="12.75" thickTop="1" x14ac:dyDescent="0.2"/>
    <row r="8" spans="1:17" ht="16.5" x14ac:dyDescent="0.25">
      <c r="C8" s="3" t="s">
        <v>84</v>
      </c>
      <c r="D8" s="3"/>
    </row>
    <row r="10" spans="1:17" x14ac:dyDescent="0.2">
      <c r="E10" t="s">
        <v>85</v>
      </c>
      <c r="G10" s="53">
        <v>10</v>
      </c>
    </row>
    <row r="12" spans="1:17" x14ac:dyDescent="0.2">
      <c r="E12" t="s">
        <v>86</v>
      </c>
      <c r="G12" s="34" cm="1">
        <f t="array" ref="G12:P12">_xlfn.SEQUENCE(1,Number_of_Periods)</f>
        <v>1</v>
      </c>
      <c r="H12" s="34">
        <v>2</v>
      </c>
      <c r="I12" s="34">
        <v>3</v>
      </c>
      <c r="J12" s="34">
        <v>4</v>
      </c>
      <c r="K12" s="34">
        <v>5</v>
      </c>
      <c r="L12" s="34">
        <v>6</v>
      </c>
      <c r="M12" s="34">
        <v>7</v>
      </c>
      <c r="N12" s="34">
        <v>8</v>
      </c>
      <c r="O12" s="34">
        <v>9</v>
      </c>
      <c r="P12" s="34">
        <v>10</v>
      </c>
    </row>
    <row r="13" spans="1:17" x14ac:dyDescent="0.2">
      <c r="G13" s="34"/>
      <c r="H13" s="34"/>
      <c r="I13" s="34"/>
      <c r="J13" s="34"/>
      <c r="K13" s="34"/>
      <c r="L13" s="34"/>
      <c r="M13" s="34"/>
      <c r="N13" s="34"/>
      <c r="O13" s="34"/>
      <c r="P13" s="34"/>
    </row>
    <row r="14" spans="1:17" x14ac:dyDescent="0.2">
      <c r="E14" s="52" t="s">
        <v>87</v>
      </c>
      <c r="G14" s="34"/>
      <c r="H14" s="34"/>
      <c r="I14" s="34"/>
      <c r="J14" s="34"/>
      <c r="K14" s="34"/>
      <c r="L14" s="34"/>
      <c r="M14" s="34"/>
      <c r="N14" s="34"/>
      <c r="O14" s="34"/>
      <c r="P14" s="34"/>
    </row>
    <row r="15" spans="1:17" x14ac:dyDescent="0.2">
      <c r="E15" t="str" cm="1">
        <f t="array" ref="E15:E23">{"B";"B";"A";"A";"C";"A";"B";"B";"B"}</f>
        <v>B</v>
      </c>
      <c r="G15" s="34" cm="1">
        <f t="array" ref="G15:P23">{1,9,3,5,3,9,3,3,3,9;9,6,8,3,10,5,10,9,8,3;4,2,2,2,0,1,0,8,4,8;4,2,6,4,4,7,8,3,4,8;10,1,1,7,3,3,9,8,9,7;10,9,3,3,3,8,0,9,1,7;4,9,3,2,7,0,0,7,9,0;9,9,6,9,8,9,10,7,5,2;4,9,7,2,8,0,7,7,3,0}</f>
        <v>1</v>
      </c>
      <c r="H15" s="34">
        <v>9</v>
      </c>
      <c r="I15" s="34">
        <v>3</v>
      </c>
      <c r="J15" s="34">
        <v>5</v>
      </c>
      <c r="K15" s="34">
        <v>3</v>
      </c>
      <c r="L15" s="34">
        <v>9</v>
      </c>
      <c r="M15" s="34">
        <v>3</v>
      </c>
      <c r="N15" s="34">
        <v>3</v>
      </c>
      <c r="O15" s="34">
        <v>3</v>
      </c>
      <c r="P15" s="34">
        <v>9</v>
      </c>
    </row>
    <row r="16" spans="1:17" x14ac:dyDescent="0.2">
      <c r="E16" t="str">
        <v>B</v>
      </c>
      <c r="G16" s="34">
        <v>9</v>
      </c>
      <c r="H16" s="34">
        <v>6</v>
      </c>
      <c r="I16" s="34">
        <v>8</v>
      </c>
      <c r="J16" s="34">
        <v>3</v>
      </c>
      <c r="K16" s="34">
        <v>10</v>
      </c>
      <c r="L16" s="34">
        <v>5</v>
      </c>
      <c r="M16" s="34">
        <v>10</v>
      </c>
      <c r="N16" s="34">
        <v>9</v>
      </c>
      <c r="O16" s="34">
        <v>8</v>
      </c>
      <c r="P16" s="34">
        <v>3</v>
      </c>
    </row>
    <row r="17" spans="3:16" x14ac:dyDescent="0.2">
      <c r="E17" t="str">
        <v>A</v>
      </c>
      <c r="G17" s="34">
        <v>4</v>
      </c>
      <c r="H17" s="34">
        <v>2</v>
      </c>
      <c r="I17" s="34">
        <v>2</v>
      </c>
      <c r="J17" s="34">
        <v>2</v>
      </c>
      <c r="K17" s="34">
        <v>0</v>
      </c>
      <c r="L17" s="34">
        <v>1</v>
      </c>
      <c r="M17" s="34">
        <v>0</v>
      </c>
      <c r="N17" s="34">
        <v>8</v>
      </c>
      <c r="O17" s="34">
        <v>4</v>
      </c>
      <c r="P17" s="34">
        <v>8</v>
      </c>
    </row>
    <row r="18" spans="3:16" x14ac:dyDescent="0.2">
      <c r="E18" t="str">
        <v>A</v>
      </c>
      <c r="G18" s="34">
        <v>4</v>
      </c>
      <c r="H18" s="34">
        <v>2</v>
      </c>
      <c r="I18" s="34">
        <v>6</v>
      </c>
      <c r="J18" s="34">
        <v>4</v>
      </c>
      <c r="K18" s="34">
        <v>4</v>
      </c>
      <c r="L18" s="34">
        <v>7</v>
      </c>
      <c r="M18" s="34">
        <v>8</v>
      </c>
      <c r="N18" s="34">
        <v>3</v>
      </c>
      <c r="O18" s="34">
        <v>4</v>
      </c>
      <c r="P18" s="34">
        <v>8</v>
      </c>
    </row>
    <row r="19" spans="3:16" x14ac:dyDescent="0.2">
      <c r="E19" t="str">
        <v>C</v>
      </c>
      <c r="G19" s="34">
        <v>10</v>
      </c>
      <c r="H19" s="34">
        <v>1</v>
      </c>
      <c r="I19" s="34">
        <v>1</v>
      </c>
      <c r="J19" s="34">
        <v>7</v>
      </c>
      <c r="K19" s="34">
        <v>3</v>
      </c>
      <c r="L19" s="34">
        <v>3</v>
      </c>
      <c r="M19" s="34">
        <v>9</v>
      </c>
      <c r="N19" s="34">
        <v>8</v>
      </c>
      <c r="O19" s="34">
        <v>9</v>
      </c>
      <c r="P19" s="34">
        <v>7</v>
      </c>
    </row>
    <row r="20" spans="3:16" x14ac:dyDescent="0.2">
      <c r="E20" t="str">
        <v>A</v>
      </c>
      <c r="G20" s="34">
        <v>10</v>
      </c>
      <c r="H20" s="34">
        <v>9</v>
      </c>
      <c r="I20" s="34">
        <v>3</v>
      </c>
      <c r="J20" s="34">
        <v>3</v>
      </c>
      <c r="K20" s="34">
        <v>3</v>
      </c>
      <c r="L20" s="34">
        <v>8</v>
      </c>
      <c r="M20" s="34">
        <v>0</v>
      </c>
      <c r="N20" s="34">
        <v>9</v>
      </c>
      <c r="O20" s="34">
        <v>1</v>
      </c>
      <c r="P20" s="34">
        <v>7</v>
      </c>
    </row>
    <row r="21" spans="3:16" x14ac:dyDescent="0.2">
      <c r="E21" t="str">
        <v>B</v>
      </c>
      <c r="G21" s="34">
        <v>4</v>
      </c>
      <c r="H21" s="34">
        <v>9</v>
      </c>
      <c r="I21" s="34">
        <v>3</v>
      </c>
      <c r="J21" s="34">
        <v>2</v>
      </c>
      <c r="K21" s="34">
        <v>7</v>
      </c>
      <c r="L21" s="34">
        <v>0</v>
      </c>
      <c r="M21" s="34">
        <v>0</v>
      </c>
      <c r="N21" s="34">
        <v>7</v>
      </c>
      <c r="O21" s="34">
        <v>9</v>
      </c>
      <c r="P21" s="34">
        <v>0</v>
      </c>
    </row>
    <row r="22" spans="3:16" x14ac:dyDescent="0.2">
      <c r="E22" t="str">
        <v>B</v>
      </c>
      <c r="G22" s="34">
        <v>9</v>
      </c>
      <c r="H22" s="34">
        <v>9</v>
      </c>
      <c r="I22" s="34">
        <v>6</v>
      </c>
      <c r="J22" s="34">
        <v>9</v>
      </c>
      <c r="K22" s="34">
        <v>8</v>
      </c>
      <c r="L22" s="34">
        <v>9</v>
      </c>
      <c r="M22" s="34">
        <v>10</v>
      </c>
      <c r="N22" s="34">
        <v>7</v>
      </c>
      <c r="O22" s="34">
        <v>5</v>
      </c>
      <c r="P22" s="34">
        <v>2</v>
      </c>
    </row>
    <row r="23" spans="3:16" x14ac:dyDescent="0.2">
      <c r="E23" t="str">
        <v>B</v>
      </c>
      <c r="G23" s="34">
        <v>4</v>
      </c>
      <c r="H23" s="34">
        <v>9</v>
      </c>
      <c r="I23" s="34">
        <v>7</v>
      </c>
      <c r="J23" s="34">
        <v>2</v>
      </c>
      <c r="K23" s="34">
        <v>8</v>
      </c>
      <c r="L23" s="34">
        <v>0</v>
      </c>
      <c r="M23" s="34">
        <v>7</v>
      </c>
      <c r="N23" s="34">
        <v>7</v>
      </c>
      <c r="O23" s="34">
        <v>3</v>
      </c>
      <c r="P23" s="34">
        <v>0</v>
      </c>
    </row>
    <row r="24" spans="3:16" x14ac:dyDescent="0.2">
      <c r="G24" s="34"/>
      <c r="H24" s="34"/>
      <c r="I24" s="34"/>
      <c r="J24" s="34"/>
      <c r="K24" s="34"/>
      <c r="L24" s="34"/>
      <c r="M24" s="34"/>
      <c r="N24" s="34"/>
      <c r="O24" s="34"/>
      <c r="P24" s="34"/>
    </row>
    <row r="25" spans="3:16" x14ac:dyDescent="0.2">
      <c r="G25" s="34"/>
      <c r="H25" s="34"/>
      <c r="I25" s="34"/>
      <c r="J25" s="34"/>
      <c r="K25" s="34"/>
      <c r="L25" s="34"/>
      <c r="M25" s="34"/>
      <c r="N25" s="34"/>
      <c r="O25" s="34"/>
      <c r="P25" s="34"/>
    </row>
    <row r="26" spans="3:16" ht="16.5" x14ac:dyDescent="0.25">
      <c r="C26" s="3" t="s">
        <v>104</v>
      </c>
      <c r="G26" s="34"/>
      <c r="H26" s="34"/>
      <c r="I26" s="34"/>
      <c r="J26" s="34"/>
      <c r="K26" s="34"/>
      <c r="L26" s="34"/>
      <c r="M26" s="34"/>
      <c r="N26" s="34"/>
      <c r="O26" s="34"/>
      <c r="P26" s="34"/>
    </row>
    <row r="27" spans="3:16" x14ac:dyDescent="0.2">
      <c r="G27" s="34"/>
      <c r="H27" s="34"/>
      <c r="I27" s="34"/>
      <c r="J27" s="34"/>
      <c r="K27" s="34"/>
      <c r="L27" s="34"/>
      <c r="M27" s="34"/>
      <c r="N27" s="34"/>
      <c r="O27" s="34"/>
      <c r="P27" s="34"/>
    </row>
    <row r="28" spans="3:16" ht="12.75" customHeight="1" x14ac:dyDescent="0.25">
      <c r="D28" s="4" t="s">
        <v>105</v>
      </c>
      <c r="G28" s="18" t="s">
        <v>117</v>
      </c>
      <c r="H28" s="34"/>
      <c r="I28" s="34"/>
      <c r="J28" s="34"/>
      <c r="K28" s="34"/>
      <c r="L28" s="34"/>
      <c r="M28" s="34"/>
      <c r="N28" s="34"/>
      <c r="O28" s="34"/>
      <c r="P28" s="34"/>
    </row>
    <row r="29" spans="3:16" x14ac:dyDescent="0.2">
      <c r="G29" s="34"/>
      <c r="H29" s="34"/>
      <c r="I29" s="34"/>
      <c r="J29" s="34"/>
      <c r="K29" s="34"/>
      <c r="L29" s="34"/>
      <c r="M29" s="34"/>
      <c r="N29" s="34"/>
      <c r="O29" s="34"/>
      <c r="P29" s="34"/>
    </row>
    <row r="30" spans="3:16" x14ac:dyDescent="0.2">
      <c r="E30" s="52" t="s">
        <v>89</v>
      </c>
      <c r="G30" t="str" cm="1">
        <f t="array" ref="G30:O30">TRANSPOSE(_xlfn.ANCHORARRAY(E15))</f>
        <v>B</v>
      </c>
      <c r="H30" t="str">
        <v>B</v>
      </c>
      <c r="I30" t="str">
        <v>A</v>
      </c>
      <c r="J30" t="str">
        <v>A</v>
      </c>
      <c r="K30" t="str">
        <v>C</v>
      </c>
      <c r="L30" t="str">
        <v>A</v>
      </c>
      <c r="M30" t="str">
        <v>B</v>
      </c>
      <c r="N30" t="str">
        <v>B</v>
      </c>
      <c r="O30" t="str">
        <v>B</v>
      </c>
      <c r="P30" s="34"/>
    </row>
    <row r="31" spans="3:16" x14ac:dyDescent="0.2">
      <c r="E31" t="str" cm="1">
        <f t="array" ref="E31:E33">_xlfn.UNIQUE(_xlfn._xlws.SORT(_xlfn.ANCHORARRAY($E$15)))</f>
        <v>A</v>
      </c>
      <c r="G31" s="34" cm="1">
        <f t="array" ref="G31:O33">N(_xlfn.ANCHORARRAY(E31)=_xlfn.ANCHORARRAY(G30))</f>
        <v>0</v>
      </c>
      <c r="H31" s="34">
        <v>0</v>
      </c>
      <c r="I31" s="34">
        <v>1</v>
      </c>
      <c r="J31" s="34">
        <v>1</v>
      </c>
      <c r="K31" s="34">
        <v>0</v>
      </c>
      <c r="L31" s="34">
        <v>1</v>
      </c>
      <c r="M31" s="34">
        <v>0</v>
      </c>
      <c r="N31" s="34">
        <v>0</v>
      </c>
      <c r="O31" s="34">
        <v>0</v>
      </c>
      <c r="P31" s="34"/>
    </row>
    <row r="32" spans="3:16" x14ac:dyDescent="0.2">
      <c r="E32" t="str">
        <v>B</v>
      </c>
      <c r="G32" s="34">
        <v>1</v>
      </c>
      <c r="H32" s="34">
        <v>1</v>
      </c>
      <c r="I32" s="34">
        <v>0</v>
      </c>
      <c r="J32" s="34">
        <v>0</v>
      </c>
      <c r="K32" s="34">
        <v>0</v>
      </c>
      <c r="L32" s="34">
        <v>0</v>
      </c>
      <c r="M32" s="34">
        <v>1</v>
      </c>
      <c r="N32" s="34">
        <v>1</v>
      </c>
      <c r="O32" s="34">
        <v>1</v>
      </c>
      <c r="P32" s="34"/>
    </row>
    <row r="33" spans="4:18" x14ac:dyDescent="0.2">
      <c r="E33" t="str">
        <v>C</v>
      </c>
      <c r="G33" s="34">
        <v>0</v>
      </c>
      <c r="H33" s="34">
        <v>0</v>
      </c>
      <c r="I33" s="34">
        <v>0</v>
      </c>
      <c r="J33" s="34">
        <v>0</v>
      </c>
      <c r="K33" s="34">
        <v>1</v>
      </c>
      <c r="L33" s="34">
        <v>0</v>
      </c>
      <c r="M33" s="34">
        <v>0</v>
      </c>
      <c r="N33" s="34">
        <v>0</v>
      </c>
      <c r="O33" s="34">
        <v>0</v>
      </c>
      <c r="P33" s="34"/>
    </row>
    <row r="34" spans="4:18" x14ac:dyDescent="0.2">
      <c r="G34" s="34"/>
      <c r="H34" s="34"/>
      <c r="I34" s="34"/>
      <c r="J34" s="34"/>
      <c r="K34" s="34"/>
      <c r="L34" s="34"/>
      <c r="M34" s="34"/>
      <c r="N34" s="34"/>
      <c r="O34" s="34"/>
      <c r="P34" s="34"/>
      <c r="R34" s="34"/>
    </row>
    <row r="35" spans="4:18" x14ac:dyDescent="0.2">
      <c r="E35" t="str" cm="1">
        <f t="array" ref="E35:E37">_xlfn.UNIQUE(_xlfn._xlws.SORT(_xlfn.ANCHORARRAY($E$15)))</f>
        <v>A</v>
      </c>
      <c r="G35" s="55" cm="1">
        <f t="array" ref="G35:P37">MMULT(_xlfn.ANCHORARRAY(G31),_xlfn.ANCHORARRAY(G15))</f>
        <v>18</v>
      </c>
      <c r="H35" s="55">
        <v>13</v>
      </c>
      <c r="I35" s="55">
        <v>11</v>
      </c>
      <c r="J35" s="55">
        <v>9</v>
      </c>
      <c r="K35" s="55">
        <v>7</v>
      </c>
      <c r="L35" s="55">
        <v>16</v>
      </c>
      <c r="M35" s="55">
        <v>8</v>
      </c>
      <c r="N35" s="55">
        <v>20</v>
      </c>
      <c r="O35" s="55">
        <v>9</v>
      </c>
      <c r="P35" s="55">
        <v>23</v>
      </c>
    </row>
    <row r="36" spans="4:18" x14ac:dyDescent="0.2">
      <c r="E36" t="str">
        <v>B</v>
      </c>
      <c r="G36" s="55">
        <v>27</v>
      </c>
      <c r="H36" s="55">
        <v>42</v>
      </c>
      <c r="I36" s="55">
        <v>27</v>
      </c>
      <c r="J36" s="55">
        <v>21</v>
      </c>
      <c r="K36" s="55">
        <v>36</v>
      </c>
      <c r="L36" s="55">
        <v>23</v>
      </c>
      <c r="M36" s="55">
        <v>30</v>
      </c>
      <c r="N36" s="55">
        <v>33</v>
      </c>
      <c r="O36" s="55">
        <v>28</v>
      </c>
      <c r="P36" s="55">
        <v>14</v>
      </c>
    </row>
    <row r="37" spans="4:18" x14ac:dyDescent="0.2">
      <c r="E37" t="str">
        <v>C</v>
      </c>
      <c r="G37" s="55">
        <v>10</v>
      </c>
      <c r="H37" s="55">
        <v>1</v>
      </c>
      <c r="I37" s="55">
        <v>1</v>
      </c>
      <c r="J37" s="55">
        <v>7</v>
      </c>
      <c r="K37" s="55">
        <v>3</v>
      </c>
      <c r="L37" s="55">
        <v>3</v>
      </c>
      <c r="M37" s="55">
        <v>9</v>
      </c>
      <c r="N37" s="55">
        <v>8</v>
      </c>
      <c r="O37" s="55">
        <v>9</v>
      </c>
      <c r="P37" s="55">
        <v>7</v>
      </c>
    </row>
    <row r="38" spans="4:18" x14ac:dyDescent="0.2">
      <c r="G38" s="34"/>
      <c r="H38" s="34"/>
      <c r="I38" s="34"/>
      <c r="J38" s="34"/>
      <c r="K38" s="34"/>
      <c r="L38" s="34"/>
      <c r="M38" s="34"/>
      <c r="N38" s="34"/>
      <c r="O38" s="34"/>
      <c r="P38" s="34"/>
    </row>
    <row r="39" spans="4:18" x14ac:dyDescent="0.2">
      <c r="E39" t="s">
        <v>106</v>
      </c>
      <c r="G39" s="54" cm="1">
        <f t="array" ref="G39:P39">MMULT(_xlfn.SEQUENCE(,ROWS(_xlfn.ANCHORARRAY(E35)),1,0),_xlfn.ANCHORARRAY(G35))</f>
        <v>55</v>
      </c>
      <c r="H39" s="54">
        <v>56</v>
      </c>
      <c r="I39" s="54">
        <v>39</v>
      </c>
      <c r="J39" s="54">
        <v>37</v>
      </c>
      <c r="K39" s="54">
        <v>46</v>
      </c>
      <c r="L39" s="54">
        <v>42</v>
      </c>
      <c r="M39" s="54">
        <v>47</v>
      </c>
      <c r="N39" s="54">
        <v>61</v>
      </c>
      <c r="O39" s="54">
        <v>46</v>
      </c>
      <c r="P39" s="54">
        <v>44</v>
      </c>
    </row>
    <row r="40" spans="4:18" x14ac:dyDescent="0.2">
      <c r="G40" s="34"/>
      <c r="H40" s="34"/>
      <c r="I40" s="34"/>
      <c r="J40" s="34"/>
      <c r="K40" s="34"/>
      <c r="L40" s="34"/>
      <c r="M40" s="34"/>
      <c r="N40" s="34"/>
      <c r="O40" s="34"/>
      <c r="P40" s="34"/>
    </row>
    <row r="41" spans="4:18" x14ac:dyDescent="0.2">
      <c r="G41" s="34"/>
      <c r="H41" s="34"/>
      <c r="I41" s="34"/>
      <c r="J41" s="34"/>
      <c r="K41" s="34"/>
      <c r="L41" s="34"/>
      <c r="M41" s="34"/>
      <c r="N41" s="34"/>
      <c r="O41" s="34"/>
      <c r="P41" s="34"/>
    </row>
    <row r="42" spans="4:18" ht="15" x14ac:dyDescent="0.25">
      <c r="D42" s="4" t="s">
        <v>122</v>
      </c>
      <c r="G42" s="34"/>
      <c r="H42" s="34"/>
      <c r="I42" s="34"/>
      <c r="J42" s="34"/>
      <c r="K42" s="34"/>
      <c r="L42" s="34"/>
      <c r="M42" s="34"/>
      <c r="N42" s="34"/>
      <c r="O42" s="34"/>
      <c r="P42" s="34"/>
    </row>
    <row r="43" spans="4:18" x14ac:dyDescent="0.2">
      <c r="G43" s="34"/>
      <c r="H43" s="34"/>
      <c r="I43" s="34"/>
      <c r="J43" s="34"/>
      <c r="K43" s="34"/>
      <c r="L43" s="34"/>
      <c r="M43" s="34"/>
      <c r="N43" s="34"/>
      <c r="O43" s="34"/>
      <c r="P43" s="34"/>
    </row>
    <row r="44" spans="4:18" x14ac:dyDescent="0.2">
      <c r="E44" t="str" cm="1">
        <f t="array" ref="E44:E46">_xlfn.UNIQUE(_xlfn._xlws.SORT(_xlfn.ANCHORARRAY($E$15)))</f>
        <v>A</v>
      </c>
      <c r="G44" s="55" cm="1">
        <f t="array" ref="G44:P46">_xlfn.DROP(_xlfn.REDUCE(0,_xlfn.ANCHORARRAY(G12),_xlfn.LAMBDA(_xlpm.x,_xlpm.y,_xlfn.HSTACK(_xlpm.x,SUMIFS(INDEX(_xlfn.ANCHORARRAY(G15),0,_xlpm.y),_xlfn.ANCHORARRAY(E15),_xlfn.ANCHORARRAY(E44))))),,1)</f>
        <v>18</v>
      </c>
      <c r="H44" s="55">
        <v>13</v>
      </c>
      <c r="I44" s="55">
        <v>11</v>
      </c>
      <c r="J44" s="55">
        <v>9</v>
      </c>
      <c r="K44" s="55">
        <v>7</v>
      </c>
      <c r="L44" s="55">
        <v>16</v>
      </c>
      <c r="M44" s="55">
        <v>8</v>
      </c>
      <c r="N44" s="55">
        <v>20</v>
      </c>
      <c r="O44" s="55">
        <v>9</v>
      </c>
      <c r="P44" s="55">
        <v>23</v>
      </c>
    </row>
    <row r="45" spans="4:18" x14ac:dyDescent="0.2">
      <c r="E45" t="str">
        <v>B</v>
      </c>
      <c r="G45" s="55">
        <v>27</v>
      </c>
      <c r="H45" s="55">
        <v>42</v>
      </c>
      <c r="I45" s="55">
        <v>27</v>
      </c>
      <c r="J45" s="55">
        <v>21</v>
      </c>
      <c r="K45" s="55">
        <v>36</v>
      </c>
      <c r="L45" s="55">
        <v>23</v>
      </c>
      <c r="M45" s="55">
        <v>30</v>
      </c>
      <c r="N45" s="55">
        <v>33</v>
      </c>
      <c r="O45" s="55">
        <v>28</v>
      </c>
      <c r="P45" s="55">
        <v>14</v>
      </c>
    </row>
    <row r="46" spans="4:18" x14ac:dyDescent="0.2">
      <c r="E46" t="str">
        <v>C</v>
      </c>
      <c r="G46" s="55">
        <v>10</v>
      </c>
      <c r="H46" s="55">
        <v>1</v>
      </c>
      <c r="I46" s="55">
        <v>1</v>
      </c>
      <c r="J46" s="55">
        <v>7</v>
      </c>
      <c r="K46" s="55">
        <v>3</v>
      </c>
      <c r="L46" s="55">
        <v>3</v>
      </c>
      <c r="M46" s="55">
        <v>9</v>
      </c>
      <c r="N46" s="55">
        <v>8</v>
      </c>
      <c r="O46" s="55">
        <v>9</v>
      </c>
      <c r="P46" s="55">
        <v>7</v>
      </c>
    </row>
    <row r="47" spans="4:18" x14ac:dyDescent="0.2">
      <c r="G47" s="34"/>
      <c r="H47" s="34"/>
      <c r="I47" s="34"/>
      <c r="J47" s="34"/>
      <c r="K47" s="34"/>
      <c r="L47" s="34"/>
      <c r="M47" s="34"/>
      <c r="N47" s="34"/>
      <c r="O47" s="34"/>
      <c r="P47" s="34"/>
    </row>
    <row r="48" spans="4:18" x14ac:dyDescent="0.2">
      <c r="E48" t="s">
        <v>106</v>
      </c>
      <c r="G48" s="54" cm="1">
        <f t="array" ref="G48:P48">MMULT(_xlfn.SEQUENCE(,ROWS(_xlfn.ANCHORARRAY(E44)),1,0),_xlfn.ANCHORARRAY(G44))</f>
        <v>55</v>
      </c>
      <c r="H48" s="54">
        <v>56</v>
      </c>
      <c r="I48" s="54">
        <v>39</v>
      </c>
      <c r="J48" s="54">
        <v>37</v>
      </c>
      <c r="K48" s="54">
        <v>46</v>
      </c>
      <c r="L48" s="54">
        <v>42</v>
      </c>
      <c r="M48" s="54">
        <v>47</v>
      </c>
      <c r="N48" s="54">
        <v>61</v>
      </c>
      <c r="O48" s="54">
        <v>46</v>
      </c>
      <c r="P48" s="54">
        <v>44</v>
      </c>
    </row>
    <row r="50" spans="4:16" x14ac:dyDescent="0.2">
      <c r="G50" s="34"/>
      <c r="H50" s="34"/>
      <c r="I50" s="34"/>
      <c r="J50" s="34"/>
      <c r="K50" s="34"/>
      <c r="L50" s="34"/>
      <c r="M50" s="34"/>
      <c r="N50" s="34"/>
      <c r="O50" s="34"/>
      <c r="P50" s="34"/>
    </row>
    <row r="51" spans="4:16" ht="15" x14ac:dyDescent="0.25">
      <c r="D51" s="4" t="s">
        <v>113</v>
      </c>
      <c r="G51" s="18" t="s">
        <v>115</v>
      </c>
      <c r="H51" s="34"/>
      <c r="I51" s="34"/>
      <c r="J51" s="34"/>
      <c r="K51" s="34"/>
      <c r="L51" s="34"/>
      <c r="M51" s="34"/>
      <c r="N51" s="34"/>
      <c r="O51" s="34"/>
      <c r="P51" s="34"/>
    </row>
    <row r="52" spans="4:16" x14ac:dyDescent="0.2">
      <c r="G52" s="34"/>
      <c r="H52" s="34"/>
      <c r="I52" s="34"/>
      <c r="J52" s="34"/>
      <c r="K52" s="34"/>
      <c r="L52" s="34"/>
      <c r="M52" s="34"/>
      <c r="N52" s="34"/>
      <c r="O52" s="34"/>
      <c r="P52" s="34"/>
    </row>
    <row r="53" spans="4:16" x14ac:dyDescent="0.2">
      <c r="E53" t="str" cm="1">
        <f t="array" ref="E53:E55">_xlfn.UNIQUE(_xlfn._xlws.SORT(_xlfn.ANCHORARRAY($E$15)))</f>
        <v>A</v>
      </c>
      <c r="G53" s="55" cm="1">
        <f t="array" ref="G53:P55">_xlfn.MAP(_xlfn._xlws.SORT(_xlfn.UNIQUE(_xlfn.ANCHORARRAY(E15)&amp;"-"&amp;_xlfn.ANCHORARRAY(G12))),_xlfn.LAMBDA(_xlpm.x,SUM((_xlfn.ANCHORARRAY(G12)=--_xlfn.TEXTAFTER(_xlpm.x,"-"))*(_xlfn.ANCHORARRAY(E15)=_xlfn.TEXTBEFORE(_xlpm.x,"-"))*_xlfn.ANCHORARRAY(G15))))</f>
        <v>18</v>
      </c>
      <c r="H53" s="55">
        <v>13</v>
      </c>
      <c r="I53" s="55">
        <v>11</v>
      </c>
      <c r="J53" s="55">
        <v>9</v>
      </c>
      <c r="K53" s="55">
        <v>7</v>
      </c>
      <c r="L53" s="55">
        <v>16</v>
      </c>
      <c r="M53" s="55">
        <v>8</v>
      </c>
      <c r="N53" s="55">
        <v>20</v>
      </c>
      <c r="O53" s="55">
        <v>9</v>
      </c>
      <c r="P53" s="55">
        <v>23</v>
      </c>
    </row>
    <row r="54" spans="4:16" x14ac:dyDescent="0.2">
      <c r="E54" t="str">
        <v>B</v>
      </c>
      <c r="G54" s="55">
        <v>27</v>
      </c>
      <c r="H54" s="55">
        <v>42</v>
      </c>
      <c r="I54" s="55">
        <v>27</v>
      </c>
      <c r="J54" s="55">
        <v>21</v>
      </c>
      <c r="K54" s="55">
        <v>36</v>
      </c>
      <c r="L54" s="55">
        <v>23</v>
      </c>
      <c r="M54" s="55">
        <v>30</v>
      </c>
      <c r="N54" s="55">
        <v>33</v>
      </c>
      <c r="O54" s="55">
        <v>28</v>
      </c>
      <c r="P54" s="55">
        <v>14</v>
      </c>
    </row>
    <row r="55" spans="4:16" x14ac:dyDescent="0.2">
      <c r="E55" t="str">
        <v>C</v>
      </c>
      <c r="G55" s="55">
        <v>10</v>
      </c>
      <c r="H55" s="55">
        <v>1</v>
      </c>
      <c r="I55" s="55">
        <v>1</v>
      </c>
      <c r="J55" s="55">
        <v>7</v>
      </c>
      <c r="K55" s="55">
        <v>3</v>
      </c>
      <c r="L55" s="55">
        <v>3</v>
      </c>
      <c r="M55" s="55">
        <v>9</v>
      </c>
      <c r="N55" s="55">
        <v>8</v>
      </c>
      <c r="O55" s="55">
        <v>9</v>
      </c>
      <c r="P55" s="55">
        <v>7</v>
      </c>
    </row>
    <row r="56" spans="4:16" x14ac:dyDescent="0.2">
      <c r="G56" s="34"/>
      <c r="H56" s="34"/>
      <c r="I56" s="34"/>
      <c r="J56" s="34"/>
      <c r="K56" s="34"/>
      <c r="L56" s="34"/>
      <c r="M56" s="34"/>
      <c r="N56" s="34"/>
      <c r="O56" s="34"/>
      <c r="P56" s="34"/>
    </row>
    <row r="57" spans="4:16" x14ac:dyDescent="0.2">
      <c r="E57" t="s">
        <v>106</v>
      </c>
      <c r="G57" s="54" cm="1">
        <f t="array" ref="G57:P57">_xlfn.BYCOL(_xlfn.ANCHORARRAY(G53),_xleta.SUM)</f>
        <v>55</v>
      </c>
      <c r="H57" s="54">
        <v>56</v>
      </c>
      <c r="I57" s="54">
        <v>39</v>
      </c>
      <c r="J57" s="54">
        <v>37</v>
      </c>
      <c r="K57" s="54">
        <v>46</v>
      </c>
      <c r="L57" s="54">
        <v>42</v>
      </c>
      <c r="M57" s="54">
        <v>47</v>
      </c>
      <c r="N57" s="54">
        <v>61</v>
      </c>
      <c r="O57" s="54">
        <v>46</v>
      </c>
      <c r="P57" s="54">
        <v>44</v>
      </c>
    </row>
    <row r="60" spans="4:16" ht="15" x14ac:dyDescent="0.25">
      <c r="D60" s="4" t="s">
        <v>118</v>
      </c>
      <c r="G60" s="18" t="s">
        <v>115</v>
      </c>
    </row>
    <row r="62" spans="4:16" x14ac:dyDescent="0.2">
      <c r="E62" t="str" cm="1">
        <f t="array" ref="E62:E64">_xlfn.UNIQUE(_xlfn._xlws.SORT(_xlfn.ANCHORARRAY($E$15)))</f>
        <v>A</v>
      </c>
      <c r="G62" s="55" cm="1">
        <f t="array" ref="G62:P64">_xlfn.DROP(_xlfn.REDUCE(0,_xlfn.ANCHORARRAY(E62),_xlfn.LAMBDA(_xlpm.x,_xlpm.y,_xlfn.VSTACK(_xlpm.x,_xlfn.BYCOL(_xlfn.ANCHORARRAY(G15),_xlfn.LAMBDA(_xlpm.col,SUM(_xlpm.col*(_xlfn.ANCHORARRAY(E15)=_xlpm.y))))))),1)</f>
        <v>18</v>
      </c>
      <c r="H62" s="55">
        <v>13</v>
      </c>
      <c r="I62" s="55">
        <v>11</v>
      </c>
      <c r="J62" s="55">
        <v>9</v>
      </c>
      <c r="K62" s="55">
        <v>7</v>
      </c>
      <c r="L62" s="55">
        <v>16</v>
      </c>
      <c r="M62" s="55">
        <v>8</v>
      </c>
      <c r="N62" s="55">
        <v>20</v>
      </c>
      <c r="O62" s="55">
        <v>9</v>
      </c>
      <c r="P62" s="55">
        <v>23</v>
      </c>
    </row>
    <row r="63" spans="4:16" x14ac:dyDescent="0.2">
      <c r="E63" t="str">
        <v>B</v>
      </c>
      <c r="G63" s="55">
        <v>27</v>
      </c>
      <c r="H63" s="55">
        <v>42</v>
      </c>
      <c r="I63" s="55">
        <v>27</v>
      </c>
      <c r="J63" s="55">
        <v>21</v>
      </c>
      <c r="K63" s="55">
        <v>36</v>
      </c>
      <c r="L63" s="55">
        <v>23</v>
      </c>
      <c r="M63" s="55">
        <v>30</v>
      </c>
      <c r="N63" s="55">
        <v>33</v>
      </c>
      <c r="O63" s="55">
        <v>28</v>
      </c>
      <c r="P63" s="55">
        <v>14</v>
      </c>
    </row>
    <row r="64" spans="4:16" x14ac:dyDescent="0.2">
      <c r="E64" t="str">
        <v>C</v>
      </c>
      <c r="G64" s="55">
        <v>10</v>
      </c>
      <c r="H64" s="55">
        <v>1</v>
      </c>
      <c r="I64" s="55">
        <v>1</v>
      </c>
      <c r="J64" s="55">
        <v>7</v>
      </c>
      <c r="K64" s="55">
        <v>3</v>
      </c>
      <c r="L64" s="55">
        <v>3</v>
      </c>
      <c r="M64" s="55">
        <v>9</v>
      </c>
      <c r="N64" s="55">
        <v>8</v>
      </c>
      <c r="O64" s="55">
        <v>9</v>
      </c>
      <c r="P64" s="55">
        <v>7</v>
      </c>
    </row>
    <row r="65" spans="4:16" x14ac:dyDescent="0.2">
      <c r="G65" s="34"/>
      <c r="H65" s="34"/>
      <c r="I65" s="34"/>
      <c r="J65" s="34"/>
      <c r="K65" s="34"/>
      <c r="L65" s="34"/>
      <c r="M65" s="34"/>
      <c r="N65" s="34"/>
      <c r="O65" s="34"/>
      <c r="P65" s="34"/>
    </row>
    <row r="66" spans="4:16" x14ac:dyDescent="0.2">
      <c r="E66" t="s">
        <v>106</v>
      </c>
      <c r="G66" s="54" cm="1">
        <f t="array" ref="G66:P66">_xlfn.BYCOL(_xlfn.ANCHORARRAY(G62),_xleta.SUM)</f>
        <v>55</v>
      </c>
      <c r="H66" s="54">
        <v>56</v>
      </c>
      <c r="I66" s="54">
        <v>39</v>
      </c>
      <c r="J66" s="54">
        <v>37</v>
      </c>
      <c r="K66" s="54">
        <v>46</v>
      </c>
      <c r="L66" s="54">
        <v>42</v>
      </c>
      <c r="M66" s="54">
        <v>47</v>
      </c>
      <c r="N66" s="54">
        <v>61</v>
      </c>
      <c r="O66" s="54">
        <v>46</v>
      </c>
      <c r="P66" s="54">
        <v>44</v>
      </c>
    </row>
    <row r="69" spans="4:16" ht="15" x14ac:dyDescent="0.25">
      <c r="D69" s="4" t="s">
        <v>116</v>
      </c>
      <c r="G69" s="18" t="s">
        <v>117</v>
      </c>
    </row>
    <row r="71" spans="4:16" x14ac:dyDescent="0.2">
      <c r="E71" t="str" cm="1">
        <f t="array" ref="E71:E73">_xlfn.UNIQUE(_xlfn._xlws.SORT(_xlfn.ANCHORARRAY($E$15)))</f>
        <v>A</v>
      </c>
      <c r="G71" s="55" cm="1">
        <f t="array" ref="G71:P73">_xlfn.MAKEARRAY(ROWS(_xlfn.ANCHORARRAY(E71)),Number_of_Periods,_xlfn.LAMBDA(_xlpm.rw,_xlpm.cl,SUM((_xlfn.ANCHORARRAY(E15)=INDEX(_xlfn.ANCHORARRAY(E71),_xlpm.rw))*INDEX(_xlfn.ANCHORARRAY(G15),_xlfn.SEQUENCE(ROWS(_xlfn.ANCHORARRAY(E15))),_xlpm.cl))))</f>
        <v>18</v>
      </c>
      <c r="H71" s="55">
        <v>13</v>
      </c>
      <c r="I71" s="55">
        <v>11</v>
      </c>
      <c r="J71" s="55">
        <v>9</v>
      </c>
      <c r="K71" s="55">
        <v>7</v>
      </c>
      <c r="L71" s="55">
        <v>16</v>
      </c>
      <c r="M71" s="55">
        <v>8</v>
      </c>
      <c r="N71" s="55">
        <v>20</v>
      </c>
      <c r="O71" s="55">
        <v>9</v>
      </c>
      <c r="P71" s="55">
        <v>23</v>
      </c>
    </row>
    <row r="72" spans="4:16" x14ac:dyDescent="0.2">
      <c r="E72" t="str">
        <v>B</v>
      </c>
      <c r="G72" s="55">
        <v>27</v>
      </c>
      <c r="H72" s="55">
        <v>42</v>
      </c>
      <c r="I72" s="55">
        <v>27</v>
      </c>
      <c r="J72" s="55">
        <v>21</v>
      </c>
      <c r="K72" s="55">
        <v>36</v>
      </c>
      <c r="L72" s="55">
        <v>23</v>
      </c>
      <c r="M72" s="55">
        <v>30</v>
      </c>
      <c r="N72" s="55">
        <v>33</v>
      </c>
      <c r="O72" s="55">
        <v>28</v>
      </c>
      <c r="P72" s="55">
        <v>14</v>
      </c>
    </row>
    <row r="73" spans="4:16" x14ac:dyDescent="0.2">
      <c r="E73" t="str">
        <v>C</v>
      </c>
      <c r="G73" s="55">
        <v>10</v>
      </c>
      <c r="H73" s="55">
        <v>1</v>
      </c>
      <c r="I73" s="55">
        <v>1</v>
      </c>
      <c r="J73" s="55">
        <v>7</v>
      </c>
      <c r="K73" s="55">
        <v>3</v>
      </c>
      <c r="L73" s="55">
        <v>3</v>
      </c>
      <c r="M73" s="55">
        <v>9</v>
      </c>
      <c r="N73" s="55">
        <v>8</v>
      </c>
      <c r="O73" s="55">
        <v>9</v>
      </c>
      <c r="P73" s="55">
        <v>7</v>
      </c>
    </row>
    <row r="75" spans="4:16" x14ac:dyDescent="0.2">
      <c r="E75" t="s">
        <v>106</v>
      </c>
      <c r="G75" s="54" cm="1">
        <f t="array" ref="G75:P75">_xlfn.BYCOL(_xlfn.ANCHORARRAY(G53),_xleta.SUM)</f>
        <v>55</v>
      </c>
      <c r="H75" s="54">
        <v>56</v>
      </c>
      <c r="I75" s="54">
        <v>39</v>
      </c>
      <c r="J75" s="54">
        <v>37</v>
      </c>
      <c r="K75" s="54">
        <v>46</v>
      </c>
      <c r="L75" s="54">
        <v>42</v>
      </c>
      <c r="M75" s="54">
        <v>47</v>
      </c>
      <c r="N75" s="54">
        <v>61</v>
      </c>
      <c r="O75" s="54">
        <v>46</v>
      </c>
      <c r="P75" s="54">
        <v>44</v>
      </c>
    </row>
    <row r="78" spans="4:16" ht="15" x14ac:dyDescent="0.25">
      <c r="D78" s="4" t="s">
        <v>121</v>
      </c>
      <c r="G78" s="18" t="s">
        <v>115</v>
      </c>
    </row>
    <row r="80" spans="4:16" x14ac:dyDescent="0.2">
      <c r="F80" t="str" cm="1">
        <f t="array" ref="F80:P82">_xlfn.GROUPBY(_xlfn.ANCHORARRAY(E15),_xlfn.ANCHORARRAY(G15),_xleta.SUM,0,0)</f>
        <v>A</v>
      </c>
      <c r="G80" s="55">
        <v>18</v>
      </c>
      <c r="H80" s="55">
        <v>13</v>
      </c>
      <c r="I80" s="55">
        <v>11</v>
      </c>
      <c r="J80" s="55">
        <v>9</v>
      </c>
      <c r="K80" s="55">
        <v>7</v>
      </c>
      <c r="L80" s="55">
        <v>16</v>
      </c>
      <c r="M80" s="55">
        <v>8</v>
      </c>
      <c r="N80" s="55">
        <v>20</v>
      </c>
      <c r="O80" s="55">
        <v>9</v>
      </c>
      <c r="P80" s="55">
        <v>23</v>
      </c>
    </row>
    <row r="81" spans="4:16" x14ac:dyDescent="0.2">
      <c r="F81" t="str">
        <v>B</v>
      </c>
      <c r="G81" s="55">
        <v>27</v>
      </c>
      <c r="H81" s="55">
        <v>42</v>
      </c>
      <c r="I81" s="55">
        <v>27</v>
      </c>
      <c r="J81" s="55">
        <v>21</v>
      </c>
      <c r="K81" s="55">
        <v>36</v>
      </c>
      <c r="L81" s="55">
        <v>23</v>
      </c>
      <c r="M81" s="55">
        <v>30</v>
      </c>
      <c r="N81" s="55">
        <v>33</v>
      </c>
      <c r="O81" s="55">
        <v>28</v>
      </c>
      <c r="P81" s="55">
        <v>14</v>
      </c>
    </row>
    <row r="82" spans="4:16" x14ac:dyDescent="0.2">
      <c r="F82" t="str">
        <v>C</v>
      </c>
      <c r="G82" s="55">
        <v>10</v>
      </c>
      <c r="H82" s="55">
        <v>1</v>
      </c>
      <c r="I82" s="55">
        <v>1</v>
      </c>
      <c r="J82" s="55">
        <v>7</v>
      </c>
      <c r="K82" s="55">
        <v>3</v>
      </c>
      <c r="L82" s="55">
        <v>3</v>
      </c>
      <c r="M82" s="55">
        <v>9</v>
      </c>
      <c r="N82" s="55">
        <v>8</v>
      </c>
      <c r="O82" s="55">
        <v>9</v>
      </c>
      <c r="P82" s="55">
        <v>7</v>
      </c>
    </row>
    <row r="85" spans="4:16" ht="15" x14ac:dyDescent="0.25">
      <c r="D85" s="4" t="s">
        <v>107</v>
      </c>
      <c r="G85" s="34"/>
      <c r="H85" s="34"/>
      <c r="I85" s="34"/>
      <c r="J85" s="34"/>
      <c r="K85" s="34"/>
      <c r="L85" s="34"/>
      <c r="M85" s="34"/>
      <c r="N85" s="34"/>
      <c r="O85" s="34"/>
      <c r="P85" s="34"/>
    </row>
    <row r="86" spans="4:16" x14ac:dyDescent="0.2">
      <c r="G86" s="34"/>
      <c r="H86" s="34"/>
      <c r="I86" s="34"/>
      <c r="J86" s="34"/>
      <c r="K86" s="34"/>
      <c r="L86" s="34"/>
      <c r="M86" s="34"/>
      <c r="N86" s="34"/>
      <c r="O86" s="34"/>
      <c r="P86" s="34"/>
    </row>
    <row r="87" spans="4:16" x14ac:dyDescent="0.2">
      <c r="E87" s="52" t="s">
        <v>119</v>
      </c>
      <c r="G87" s="34"/>
      <c r="H87" s="34"/>
      <c r="I87" s="34"/>
      <c r="J87" s="34"/>
      <c r="K87" s="34"/>
      <c r="L87" s="34"/>
      <c r="M87" s="34"/>
      <c r="N87" s="34"/>
      <c r="O87" s="34"/>
      <c r="P87" s="34"/>
    </row>
    <row r="88" spans="4:16" x14ac:dyDescent="0.2">
      <c r="E88" t="str" cm="1">
        <f t="array" ref="E88:E96">_xlfn._xlws.SORT(_xlfn.ANCHORARRAY(E15))</f>
        <v>A</v>
      </c>
      <c r="G88" s="34" cm="1">
        <f t="array" ref="G88:P96">_xlfn.SORTBY(_xlfn.ANCHORARRAY(G15),_xlfn.ANCHORARRAY(E15))</f>
        <v>4</v>
      </c>
      <c r="H88" s="34">
        <v>2</v>
      </c>
      <c r="I88" s="34">
        <v>2</v>
      </c>
      <c r="J88" s="34">
        <v>2</v>
      </c>
      <c r="K88" s="34">
        <v>0</v>
      </c>
      <c r="L88" s="34">
        <v>1</v>
      </c>
      <c r="M88" s="34">
        <v>0</v>
      </c>
      <c r="N88" s="34">
        <v>8</v>
      </c>
      <c r="O88" s="34">
        <v>4</v>
      </c>
      <c r="P88" s="34">
        <v>8</v>
      </c>
    </row>
    <row r="89" spans="4:16" x14ac:dyDescent="0.2">
      <c r="E89" t="str">
        <v>A</v>
      </c>
      <c r="G89" s="34">
        <v>4</v>
      </c>
      <c r="H89" s="34">
        <v>2</v>
      </c>
      <c r="I89" s="34">
        <v>6</v>
      </c>
      <c r="J89" s="34">
        <v>4</v>
      </c>
      <c r="K89" s="34">
        <v>4</v>
      </c>
      <c r="L89" s="34">
        <v>7</v>
      </c>
      <c r="M89" s="34">
        <v>8</v>
      </c>
      <c r="N89" s="34">
        <v>3</v>
      </c>
      <c r="O89" s="34">
        <v>4</v>
      </c>
      <c r="P89" s="34">
        <v>8</v>
      </c>
    </row>
    <row r="90" spans="4:16" x14ac:dyDescent="0.2">
      <c r="E90" t="str">
        <v>A</v>
      </c>
      <c r="G90" s="34">
        <v>10</v>
      </c>
      <c r="H90" s="34">
        <v>9</v>
      </c>
      <c r="I90" s="34">
        <v>3</v>
      </c>
      <c r="J90" s="34">
        <v>3</v>
      </c>
      <c r="K90" s="34">
        <v>3</v>
      </c>
      <c r="L90" s="34">
        <v>8</v>
      </c>
      <c r="M90" s="34">
        <v>0</v>
      </c>
      <c r="N90" s="34">
        <v>9</v>
      </c>
      <c r="O90" s="34">
        <v>1</v>
      </c>
      <c r="P90" s="34">
        <v>7</v>
      </c>
    </row>
    <row r="91" spans="4:16" x14ac:dyDescent="0.2">
      <c r="E91" t="str">
        <v>B</v>
      </c>
      <c r="G91" s="34">
        <v>1</v>
      </c>
      <c r="H91" s="34">
        <v>9</v>
      </c>
      <c r="I91" s="34">
        <v>3</v>
      </c>
      <c r="J91" s="34">
        <v>5</v>
      </c>
      <c r="K91" s="34">
        <v>3</v>
      </c>
      <c r="L91" s="34">
        <v>9</v>
      </c>
      <c r="M91" s="34">
        <v>3</v>
      </c>
      <c r="N91" s="34">
        <v>3</v>
      </c>
      <c r="O91" s="34">
        <v>3</v>
      </c>
      <c r="P91" s="34">
        <v>9</v>
      </c>
    </row>
    <row r="92" spans="4:16" x14ac:dyDescent="0.2">
      <c r="E92" t="str">
        <v>B</v>
      </c>
      <c r="G92" s="34">
        <v>9</v>
      </c>
      <c r="H92" s="34">
        <v>6</v>
      </c>
      <c r="I92" s="34">
        <v>8</v>
      </c>
      <c r="J92" s="34">
        <v>3</v>
      </c>
      <c r="K92" s="34">
        <v>10</v>
      </c>
      <c r="L92" s="34">
        <v>5</v>
      </c>
      <c r="M92" s="34">
        <v>10</v>
      </c>
      <c r="N92" s="34">
        <v>9</v>
      </c>
      <c r="O92" s="34">
        <v>8</v>
      </c>
      <c r="P92" s="34">
        <v>3</v>
      </c>
    </row>
    <row r="93" spans="4:16" x14ac:dyDescent="0.2">
      <c r="E93" t="str">
        <v>B</v>
      </c>
      <c r="G93" s="34">
        <v>4</v>
      </c>
      <c r="H93" s="34">
        <v>9</v>
      </c>
      <c r="I93" s="34">
        <v>3</v>
      </c>
      <c r="J93" s="34">
        <v>2</v>
      </c>
      <c r="K93" s="34">
        <v>7</v>
      </c>
      <c r="L93" s="34">
        <v>0</v>
      </c>
      <c r="M93" s="34">
        <v>0</v>
      </c>
      <c r="N93" s="34">
        <v>7</v>
      </c>
      <c r="O93" s="34">
        <v>9</v>
      </c>
      <c r="P93" s="34">
        <v>0</v>
      </c>
    </row>
    <row r="94" spans="4:16" x14ac:dyDescent="0.2">
      <c r="E94" t="str">
        <v>B</v>
      </c>
      <c r="G94" s="34">
        <v>9</v>
      </c>
      <c r="H94" s="34">
        <v>9</v>
      </c>
      <c r="I94" s="34">
        <v>6</v>
      </c>
      <c r="J94" s="34">
        <v>9</v>
      </c>
      <c r="K94" s="34">
        <v>8</v>
      </c>
      <c r="L94" s="34">
        <v>9</v>
      </c>
      <c r="M94" s="34">
        <v>10</v>
      </c>
      <c r="N94" s="34">
        <v>7</v>
      </c>
      <c r="O94" s="34">
        <v>5</v>
      </c>
      <c r="P94" s="34">
        <v>2</v>
      </c>
    </row>
    <row r="95" spans="4:16" x14ac:dyDescent="0.2">
      <c r="E95" t="str">
        <v>B</v>
      </c>
      <c r="G95" s="34">
        <v>4</v>
      </c>
      <c r="H95" s="34">
        <v>9</v>
      </c>
      <c r="I95" s="34">
        <v>7</v>
      </c>
      <c r="J95" s="34">
        <v>2</v>
      </c>
      <c r="K95" s="34">
        <v>8</v>
      </c>
      <c r="L95" s="34">
        <v>0</v>
      </c>
      <c r="M95" s="34">
        <v>7</v>
      </c>
      <c r="N95" s="34">
        <v>7</v>
      </c>
      <c r="O95" s="34">
        <v>3</v>
      </c>
      <c r="P95" s="34">
        <v>0</v>
      </c>
    </row>
    <row r="96" spans="4:16" x14ac:dyDescent="0.2">
      <c r="E96" t="str">
        <v>C</v>
      </c>
      <c r="G96" s="34">
        <v>10</v>
      </c>
      <c r="H96" s="34">
        <v>1</v>
      </c>
      <c r="I96" s="34">
        <v>1</v>
      </c>
      <c r="J96" s="34">
        <v>7</v>
      </c>
      <c r="K96" s="34">
        <v>3</v>
      </c>
      <c r="L96" s="34">
        <v>3</v>
      </c>
      <c r="M96" s="34">
        <v>9</v>
      </c>
      <c r="N96" s="34">
        <v>8</v>
      </c>
      <c r="O96" s="34">
        <v>9</v>
      </c>
      <c r="P96" s="34">
        <v>7</v>
      </c>
    </row>
    <row r="97" spans="5:19" x14ac:dyDescent="0.2">
      <c r="G97" s="34"/>
      <c r="H97" s="34"/>
      <c r="I97" s="34"/>
      <c r="J97" s="34"/>
      <c r="K97" s="34"/>
      <c r="L97" s="34"/>
      <c r="M97" s="34"/>
      <c r="N97" s="34"/>
      <c r="O97" s="34"/>
      <c r="P97" s="34"/>
    </row>
    <row r="98" spans="5:19" x14ac:dyDescent="0.2">
      <c r="G98" s="34"/>
      <c r="H98" s="34"/>
      <c r="I98" s="34"/>
      <c r="J98" s="34"/>
      <c r="K98" s="34"/>
      <c r="L98" s="34"/>
      <c r="M98" s="34"/>
      <c r="N98" s="34"/>
      <c r="O98" s="34"/>
      <c r="P98" s="34"/>
    </row>
    <row r="99" spans="5:19" x14ac:dyDescent="0.2">
      <c r="E99" t="str" cm="1">
        <f t="array" ref="E99:E101">CHAR(_xlfn.SEQUENCE(3,,65))</f>
        <v>A</v>
      </c>
      <c r="G99" s="55" cm="1">
        <f t="array" aca="1" ref="G99:P101" ca="1">SUBTOTAL(9,OFFSET(_xlfn.ANCHORARRAY(G88),MATCH(_xlfn.ANCHORARRAY(E99),_xlfn.ANCHORARRAY(E88),0)-1,_xlfn.SEQUENCE(,Number_of_Periods,0),COUNTIF(_xlfn.ANCHORARRAY(E88),_xlfn.ANCHORARRAY(E99)),1))</f>
        <v>18</v>
      </c>
      <c r="H99" s="55">
        <f ca="1"/>
        <v>13</v>
      </c>
      <c r="I99" s="55">
        <f ca="1"/>
        <v>11</v>
      </c>
      <c r="J99" s="55">
        <f ca="1"/>
        <v>9</v>
      </c>
      <c r="K99" s="55">
        <f ca="1"/>
        <v>7</v>
      </c>
      <c r="L99" s="55">
        <f ca="1"/>
        <v>16</v>
      </c>
      <c r="M99" s="55">
        <f ca="1"/>
        <v>8</v>
      </c>
      <c r="N99" s="55">
        <f ca="1"/>
        <v>20</v>
      </c>
      <c r="O99" s="55">
        <f ca="1"/>
        <v>9</v>
      </c>
      <c r="P99" s="55">
        <f ca="1"/>
        <v>23</v>
      </c>
    </row>
    <row r="100" spans="5:19" x14ac:dyDescent="0.2">
      <c r="E100" t="str">
        <v>B</v>
      </c>
      <c r="G100" s="55">
        <f ca="1"/>
        <v>27</v>
      </c>
      <c r="H100" s="55">
        <f ca="1"/>
        <v>42</v>
      </c>
      <c r="I100" s="55">
        <f ca="1"/>
        <v>27</v>
      </c>
      <c r="J100" s="55">
        <f ca="1"/>
        <v>21</v>
      </c>
      <c r="K100" s="55">
        <f ca="1"/>
        <v>36</v>
      </c>
      <c r="L100" s="55">
        <f ca="1"/>
        <v>23</v>
      </c>
      <c r="M100" s="55">
        <f ca="1"/>
        <v>30</v>
      </c>
      <c r="N100" s="55">
        <f ca="1"/>
        <v>33</v>
      </c>
      <c r="O100" s="55">
        <f ca="1"/>
        <v>28</v>
      </c>
      <c r="P100" s="55">
        <f ca="1"/>
        <v>14</v>
      </c>
    </row>
    <row r="101" spans="5:19" x14ac:dyDescent="0.2">
      <c r="E101" t="str">
        <v>C</v>
      </c>
      <c r="G101" s="55">
        <f ca="1"/>
        <v>10</v>
      </c>
      <c r="H101" s="55">
        <f ca="1"/>
        <v>1</v>
      </c>
      <c r="I101" s="55">
        <f ca="1"/>
        <v>1</v>
      </c>
      <c r="J101" s="55">
        <f ca="1"/>
        <v>7</v>
      </c>
      <c r="K101" s="55">
        <f ca="1"/>
        <v>3</v>
      </c>
      <c r="L101" s="55">
        <f ca="1"/>
        <v>3</v>
      </c>
      <c r="M101" s="55">
        <f ca="1"/>
        <v>9</v>
      </c>
      <c r="N101" s="55">
        <f ca="1"/>
        <v>8</v>
      </c>
      <c r="O101" s="55">
        <f ca="1"/>
        <v>9</v>
      </c>
      <c r="P101" s="55">
        <f ca="1"/>
        <v>7</v>
      </c>
    </row>
    <row r="102" spans="5:19" x14ac:dyDescent="0.2">
      <c r="G102" s="34"/>
      <c r="H102" s="34"/>
      <c r="I102" s="34"/>
      <c r="J102" s="34"/>
      <c r="K102" s="34"/>
      <c r="L102" s="34"/>
      <c r="M102" s="34"/>
      <c r="N102" s="34"/>
      <c r="O102" s="34"/>
      <c r="P102" s="34"/>
    </row>
    <row r="103" spans="5:19" x14ac:dyDescent="0.2">
      <c r="G103" s="34"/>
      <c r="H103" s="34"/>
      <c r="I103" s="34"/>
      <c r="J103" s="34"/>
      <c r="K103" s="34"/>
      <c r="L103" s="34"/>
      <c r="M103" s="34"/>
      <c r="N103" s="34"/>
      <c r="O103" s="34"/>
      <c r="P103" s="34"/>
    </row>
    <row r="104" spans="5:19" x14ac:dyDescent="0.2">
      <c r="E104" s="52" t="s">
        <v>205</v>
      </c>
      <c r="G104" s="34"/>
      <c r="H104" s="34"/>
      <c r="I104" s="34"/>
      <c r="J104" s="34"/>
      <c r="K104" s="34"/>
      <c r="L104" s="34"/>
      <c r="M104" s="34"/>
      <c r="N104" s="34"/>
      <c r="O104" s="34"/>
      <c r="P104" s="34"/>
    </row>
    <row r="106" spans="5:19" x14ac:dyDescent="0.2">
      <c r="E106" s="52"/>
      <c r="G106" s="34" cm="1">
        <f t="array" ref="G106:P106">_xlfn.SEQUENCE(,Number_of_Periods,0)</f>
        <v>0</v>
      </c>
      <c r="H106" s="34">
        <v>1</v>
      </c>
      <c r="I106" s="34">
        <v>2</v>
      </c>
      <c r="J106" s="34">
        <v>3</v>
      </c>
      <c r="K106" s="34">
        <v>4</v>
      </c>
      <c r="L106" s="34">
        <v>5</v>
      </c>
      <c r="M106" s="34">
        <v>6</v>
      </c>
      <c r="N106" s="34">
        <v>7</v>
      </c>
      <c r="O106" s="34">
        <v>8</v>
      </c>
      <c r="P106" s="34">
        <v>9</v>
      </c>
    </row>
    <row r="107" spans="5:19" x14ac:dyDescent="0.2">
      <c r="E107" s="52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R107" t="s">
        <v>206</v>
      </c>
      <c r="S107" t="s">
        <v>207</v>
      </c>
    </row>
    <row r="108" spans="5:19" x14ac:dyDescent="0.2">
      <c r="E108" t="str" cm="1">
        <f t="array" ref="E108:E110">CHAR(_xlfn.SEQUENCE(3,,65))</f>
        <v>A</v>
      </c>
      <c r="G108" s="58" t="e" cm="1">
        <f t="array" aca="1" ref="G108:P110" ca="1">OFFSET(_xlfn.ANCHORARRAY(G88),{0;3;8},_xlfn.ANCHORARRAY(G106),{3;5;1},1)</f>
        <v>#VALUE!</v>
      </c>
      <c r="H108" s="58" t="e">
        <f ca="1"/>
        <v>#VALUE!</v>
      </c>
      <c r="I108" s="58" t="e">
        <f ca="1"/>
        <v>#VALUE!</v>
      </c>
      <c r="J108" s="58" t="e">
        <f ca="1"/>
        <v>#VALUE!</v>
      </c>
      <c r="K108" s="58" t="e">
        <f ca="1"/>
        <v>#VALUE!</v>
      </c>
      <c r="L108" s="58" t="e">
        <f ca="1"/>
        <v>#VALUE!</v>
      </c>
      <c r="M108" s="58" t="e">
        <f ca="1"/>
        <v>#VALUE!</v>
      </c>
      <c r="N108" s="58" t="e">
        <f ca="1"/>
        <v>#VALUE!</v>
      </c>
      <c r="O108" s="58" t="e">
        <f ca="1"/>
        <v>#VALUE!</v>
      </c>
      <c r="P108" s="58" t="e">
        <f ca="1"/>
        <v>#VALUE!</v>
      </c>
      <c r="R108" cm="1">
        <f t="array" ref="R108:R110">{0;3;8}</f>
        <v>0</v>
      </c>
      <c r="S108" cm="1">
        <f t="array" ref="S108:S110">{3;5;1}</f>
        <v>3</v>
      </c>
    </row>
    <row r="109" spans="5:19" x14ac:dyDescent="0.2">
      <c r="E109" t="str">
        <v>B</v>
      </c>
      <c r="G109" s="34" t="e">
        <f ca="1"/>
        <v>#VALUE!</v>
      </c>
      <c r="H109" s="34" t="e">
        <f ca="1"/>
        <v>#VALUE!</v>
      </c>
      <c r="I109" s="34" t="e">
        <f ca="1"/>
        <v>#VALUE!</v>
      </c>
      <c r="J109" s="34" t="e">
        <f ca="1"/>
        <v>#VALUE!</v>
      </c>
      <c r="K109" s="34" t="e">
        <f ca="1"/>
        <v>#VALUE!</v>
      </c>
      <c r="L109" s="34" t="e">
        <f ca="1"/>
        <v>#VALUE!</v>
      </c>
      <c r="M109" s="34" t="e">
        <f ca="1"/>
        <v>#VALUE!</v>
      </c>
      <c r="N109" s="34" t="e">
        <f ca="1"/>
        <v>#VALUE!</v>
      </c>
      <c r="O109" s="34" t="e">
        <f ca="1"/>
        <v>#VALUE!</v>
      </c>
      <c r="P109" s="34" t="e">
        <f ca="1"/>
        <v>#VALUE!</v>
      </c>
      <c r="R109">
        <v>3</v>
      </c>
      <c r="S109">
        <v>5</v>
      </c>
    </row>
    <row r="110" spans="5:19" x14ac:dyDescent="0.2">
      <c r="E110" t="str">
        <v>C</v>
      </c>
      <c r="G110" s="34" t="e">
        <f ca="1"/>
        <v>#VALUE!</v>
      </c>
      <c r="H110" s="34" t="e">
        <f ca="1"/>
        <v>#VALUE!</v>
      </c>
      <c r="I110" s="34" t="e">
        <f ca="1"/>
        <v>#VALUE!</v>
      </c>
      <c r="J110" s="34" t="e">
        <f ca="1"/>
        <v>#VALUE!</v>
      </c>
      <c r="K110" s="34" t="e">
        <f ca="1"/>
        <v>#VALUE!</v>
      </c>
      <c r="L110" s="34" t="e">
        <f ca="1"/>
        <v>#VALUE!</v>
      </c>
      <c r="M110" s="34" t="e">
        <f ca="1"/>
        <v>#VALUE!</v>
      </c>
      <c r="N110" s="34" t="e">
        <f ca="1"/>
        <v>#VALUE!</v>
      </c>
      <c r="O110" s="34" t="e">
        <f ca="1"/>
        <v>#VALUE!</v>
      </c>
      <c r="P110" s="34" t="e">
        <f ca="1"/>
        <v>#VALUE!</v>
      </c>
      <c r="R110">
        <v>8</v>
      </c>
      <c r="S110">
        <v>1</v>
      </c>
    </row>
    <row r="111" spans="5:19" x14ac:dyDescent="0.2">
      <c r="E111" s="52"/>
      <c r="G111" s="34"/>
      <c r="H111" s="34"/>
      <c r="I111" s="34"/>
      <c r="J111" s="34"/>
      <c r="K111" s="34"/>
      <c r="L111" s="34"/>
      <c r="M111" s="34"/>
      <c r="N111" s="34"/>
      <c r="O111" s="34"/>
      <c r="P111" s="34"/>
    </row>
    <row r="112" spans="5:19" x14ac:dyDescent="0.2">
      <c r="E112" t="s">
        <v>200</v>
      </c>
      <c r="G112" s="58" cm="1">
        <f t="array" aca="1" ref="G112:G114" ca="1">OFFSET($G$88,$R$108,G106,$S$108,1)</f>
        <v>4</v>
      </c>
      <c r="H112" s="58" cm="1">
        <f t="array" aca="1" ref="H112:H114" ca="1">OFFSET($G$88,$R$108,H106,$S$108,1)</f>
        <v>2</v>
      </c>
      <c r="I112" s="58" cm="1">
        <f t="array" aca="1" ref="I112:I114" ca="1">OFFSET($G$88,$R$108,I106,$S$108,1)</f>
        <v>2</v>
      </c>
      <c r="J112" s="58" cm="1">
        <f t="array" aca="1" ref="J112:J114" ca="1">OFFSET($G$88,$R$108,J106,$S$108,1)</f>
        <v>2</v>
      </c>
      <c r="K112" s="58" cm="1">
        <f t="array" aca="1" ref="K112:K114" ca="1">OFFSET($G$88,$R$108,K106,$S$108,1)</f>
        <v>0</v>
      </c>
      <c r="L112" s="58" cm="1">
        <f t="array" aca="1" ref="L112:L114" ca="1">OFFSET($G$88,$R$108,L106,$S$108,1)</f>
        <v>1</v>
      </c>
      <c r="M112" s="58" cm="1">
        <f t="array" aca="1" ref="M112:M114" ca="1">OFFSET($G$88,$R$108,M106,$S$108,1)</f>
        <v>0</v>
      </c>
      <c r="N112" s="58" cm="1">
        <f t="array" aca="1" ref="N112:N114" ca="1">OFFSET($G$88,$R$108,N106,$S$108,1)</f>
        <v>8</v>
      </c>
      <c r="O112" s="58" cm="1">
        <f t="array" aca="1" ref="O112:O114" ca="1">OFFSET($G$88,$R$108,O106,$S$108,1)</f>
        <v>4</v>
      </c>
      <c r="P112" s="58" cm="1">
        <f t="array" aca="1" ref="P112:P114" ca="1">OFFSET($G$88,$R$108,P106,$S$108,1)</f>
        <v>8</v>
      </c>
    </row>
    <row r="113" spans="4:16" x14ac:dyDescent="0.2">
      <c r="G113" s="58">
        <f ca="1"/>
        <v>4</v>
      </c>
      <c r="H113" s="58">
        <f ca="1"/>
        <v>2</v>
      </c>
      <c r="I113" s="58">
        <f ca="1"/>
        <v>6</v>
      </c>
      <c r="J113" s="58">
        <f ca="1"/>
        <v>4</v>
      </c>
      <c r="K113" s="58">
        <f ca="1"/>
        <v>4</v>
      </c>
      <c r="L113" s="58">
        <f ca="1"/>
        <v>7</v>
      </c>
      <c r="M113" s="58">
        <f ca="1"/>
        <v>8</v>
      </c>
      <c r="N113" s="58">
        <f ca="1"/>
        <v>3</v>
      </c>
      <c r="O113" s="58">
        <f ca="1"/>
        <v>4</v>
      </c>
      <c r="P113" s="58">
        <f ca="1"/>
        <v>8</v>
      </c>
    </row>
    <row r="114" spans="4:16" x14ac:dyDescent="0.2">
      <c r="G114" s="58">
        <f ca="1"/>
        <v>10</v>
      </c>
      <c r="H114" s="58">
        <f ca="1"/>
        <v>9</v>
      </c>
      <c r="I114" s="58">
        <f ca="1"/>
        <v>3</v>
      </c>
      <c r="J114" s="58">
        <f ca="1"/>
        <v>3</v>
      </c>
      <c r="K114" s="58">
        <f ca="1"/>
        <v>3</v>
      </c>
      <c r="L114" s="58">
        <f ca="1"/>
        <v>8</v>
      </c>
      <c r="M114" s="58">
        <f ca="1"/>
        <v>0</v>
      </c>
      <c r="N114" s="58">
        <f ca="1"/>
        <v>9</v>
      </c>
      <c r="O114" s="58">
        <f ca="1"/>
        <v>1</v>
      </c>
      <c r="P114" s="58">
        <f ca="1"/>
        <v>7</v>
      </c>
    </row>
    <row r="115" spans="4:16" x14ac:dyDescent="0.2">
      <c r="G115" s="34"/>
      <c r="H115" s="34"/>
      <c r="I115" s="34"/>
      <c r="J115" s="34"/>
      <c r="K115" s="34"/>
      <c r="L115" s="34"/>
      <c r="M115" s="34"/>
      <c r="N115" s="34"/>
      <c r="O115" s="34"/>
      <c r="P115" s="34"/>
    </row>
    <row r="116" spans="4:16" x14ac:dyDescent="0.2">
      <c r="G116" s="34"/>
      <c r="H116" s="34"/>
      <c r="I116" s="34"/>
      <c r="J116" s="34"/>
      <c r="K116" s="34"/>
      <c r="L116" s="34"/>
      <c r="M116" s="34"/>
      <c r="N116" s="34"/>
      <c r="O116" s="34"/>
      <c r="P116" s="34"/>
    </row>
    <row r="117" spans="4:16" x14ac:dyDescent="0.2">
      <c r="G117" t="s">
        <v>208</v>
      </c>
      <c r="H117" s="34"/>
      <c r="I117" s="34"/>
      <c r="J117" s="34"/>
      <c r="K117" s="34"/>
      <c r="L117" s="34"/>
      <c r="M117" s="34"/>
      <c r="N117" s="34"/>
      <c r="O117" s="34"/>
      <c r="P117" s="34"/>
    </row>
    <row r="118" spans="4:16" x14ac:dyDescent="0.2">
      <c r="G118" t="str">
        <f ca="1">"Each #VALUE on row "&amp;ROW(G108)&amp;" trying to display value of row "&amp;ROW(G112)&amp;" to row "&amp;ROW(G112)+ROWS(_xlfn.ANCHORARRAY(G112))&amp;" within 1 cell"</f>
        <v>Each #VALUE on row 108 trying to display value of row 112 to row 115 within 1 cell</v>
      </c>
      <c r="H118" s="34"/>
      <c r="I118" s="34"/>
      <c r="J118" s="34"/>
      <c r="K118" s="34"/>
      <c r="L118" s="34"/>
      <c r="M118" s="34"/>
      <c r="N118" s="34"/>
      <c r="O118" s="34"/>
      <c r="P118" s="34"/>
    </row>
    <row r="119" spans="4:16" x14ac:dyDescent="0.2">
      <c r="G119" t="s">
        <v>209</v>
      </c>
      <c r="H119" s="34"/>
      <c r="I119" s="34"/>
      <c r="J119" s="34"/>
      <c r="K119" s="34"/>
      <c r="L119" s="34"/>
      <c r="M119" s="34"/>
      <c r="N119" s="34"/>
      <c r="O119" s="34"/>
      <c r="P119" s="34"/>
    </row>
    <row r="120" spans="4:16" x14ac:dyDescent="0.2">
      <c r="G120" t="s">
        <v>210</v>
      </c>
      <c r="H120" s="34"/>
      <c r="I120" s="34"/>
      <c r="J120" s="34"/>
      <c r="K120" s="34"/>
      <c r="L120" s="34"/>
      <c r="M120" s="34"/>
      <c r="N120" s="34"/>
      <c r="O120" s="34"/>
      <c r="P120" s="34"/>
    </row>
    <row r="121" spans="4:16" x14ac:dyDescent="0.2">
      <c r="G121" s="34"/>
      <c r="H121" s="34"/>
      <c r="I121" s="34"/>
      <c r="J121" s="34"/>
      <c r="K121" s="34"/>
      <c r="L121" s="34"/>
      <c r="M121" s="34"/>
      <c r="N121" s="34"/>
      <c r="O121" s="34"/>
      <c r="P121" s="34"/>
    </row>
    <row r="122" spans="4:16" x14ac:dyDescent="0.2">
      <c r="G122" s="34"/>
      <c r="H122" s="34"/>
      <c r="I122" s="34"/>
      <c r="J122" s="34"/>
      <c r="K122" s="34"/>
      <c r="L122" s="34"/>
      <c r="M122" s="34"/>
      <c r="N122" s="34"/>
      <c r="O122" s="34"/>
      <c r="P122" s="34"/>
    </row>
    <row r="123" spans="4:16" ht="15" x14ac:dyDescent="0.25">
      <c r="D123" s="4" t="s">
        <v>108</v>
      </c>
      <c r="G123" s="18" t="s">
        <v>114</v>
      </c>
      <c r="H123" s="34"/>
      <c r="I123" s="34"/>
      <c r="J123" s="34"/>
      <c r="K123" s="34"/>
      <c r="L123" s="34"/>
      <c r="M123" s="34"/>
      <c r="N123" s="34"/>
      <c r="O123" s="34"/>
      <c r="P123" s="34"/>
    </row>
    <row r="124" spans="4:16" x14ac:dyDescent="0.2">
      <c r="G124" s="34"/>
      <c r="H124" s="34"/>
      <c r="I124" s="34"/>
      <c r="J124" s="34"/>
      <c r="K124" s="34"/>
      <c r="L124" s="34"/>
      <c r="M124" s="34"/>
      <c r="N124" s="34"/>
      <c r="O124" s="34"/>
      <c r="P124" s="34"/>
    </row>
    <row r="125" spans="4:16" x14ac:dyDescent="0.2">
      <c r="E125" t="str" cm="1">
        <f t="array" ref="E125:E127">CHAR(_xlfn.SEQUENCE(3,,65))</f>
        <v>A</v>
      </c>
      <c r="G125" s="55" cm="1">
        <f t="array" aca="1" ref="G125:P127" ca="1">SUMIF(_xlfn.ANCHORARRAY(E15),_xlfn.ANCHORARRAY(E35),OFFSET(F15,,_xlfn.ANCHORARRAY(G12)))</f>
        <v>18</v>
      </c>
      <c r="H125" s="55">
        <f ca="1"/>
        <v>13</v>
      </c>
      <c r="I125" s="55">
        <f ca="1"/>
        <v>11</v>
      </c>
      <c r="J125" s="55">
        <f ca="1"/>
        <v>9</v>
      </c>
      <c r="K125" s="55">
        <f ca="1"/>
        <v>7</v>
      </c>
      <c r="L125" s="55">
        <f ca="1"/>
        <v>16</v>
      </c>
      <c r="M125" s="55">
        <f ca="1"/>
        <v>8</v>
      </c>
      <c r="N125" s="55">
        <f ca="1"/>
        <v>20</v>
      </c>
      <c r="O125" s="55">
        <f ca="1"/>
        <v>9</v>
      </c>
      <c r="P125" s="55">
        <f ca="1"/>
        <v>23</v>
      </c>
    </row>
    <row r="126" spans="4:16" x14ac:dyDescent="0.2">
      <c r="E126" t="str">
        <v>B</v>
      </c>
      <c r="G126" s="55">
        <f ca="1"/>
        <v>27</v>
      </c>
      <c r="H126" s="55">
        <f ca="1"/>
        <v>42</v>
      </c>
      <c r="I126" s="55">
        <f ca="1"/>
        <v>27</v>
      </c>
      <c r="J126" s="55">
        <f ca="1"/>
        <v>21</v>
      </c>
      <c r="K126" s="55">
        <f ca="1"/>
        <v>36</v>
      </c>
      <c r="L126" s="55">
        <f ca="1"/>
        <v>23</v>
      </c>
      <c r="M126" s="55">
        <f ca="1"/>
        <v>30</v>
      </c>
      <c r="N126" s="55">
        <f ca="1"/>
        <v>33</v>
      </c>
      <c r="O126" s="55">
        <f ca="1"/>
        <v>28</v>
      </c>
      <c r="P126" s="55">
        <f ca="1"/>
        <v>14</v>
      </c>
    </row>
    <row r="127" spans="4:16" x14ac:dyDescent="0.2">
      <c r="E127" t="str">
        <v>C</v>
      </c>
      <c r="G127" s="55">
        <f ca="1"/>
        <v>10</v>
      </c>
      <c r="H127" s="55">
        <f ca="1"/>
        <v>1</v>
      </c>
      <c r="I127" s="55">
        <f ca="1"/>
        <v>1</v>
      </c>
      <c r="J127" s="55">
        <f ca="1"/>
        <v>7</v>
      </c>
      <c r="K127" s="55">
        <f ca="1"/>
        <v>3</v>
      </c>
      <c r="L127" s="55">
        <f ca="1"/>
        <v>3</v>
      </c>
      <c r="M127" s="55">
        <f ca="1"/>
        <v>9</v>
      </c>
      <c r="N127" s="55">
        <f ca="1"/>
        <v>8</v>
      </c>
      <c r="O127" s="55">
        <f ca="1"/>
        <v>9</v>
      </c>
      <c r="P127" s="55">
        <f ca="1"/>
        <v>7</v>
      </c>
    </row>
    <row r="128" spans="4:16" x14ac:dyDescent="0.2">
      <c r="G128" s="34"/>
      <c r="H128" s="34"/>
      <c r="I128" s="34"/>
      <c r="J128" s="34"/>
      <c r="K128" s="34"/>
      <c r="L128" s="34"/>
      <c r="M128" s="34"/>
      <c r="N128" s="34"/>
      <c r="O128" s="34"/>
      <c r="P128" s="34"/>
    </row>
    <row r="129" spans="4:16" x14ac:dyDescent="0.2">
      <c r="G129" s="34"/>
      <c r="H129" s="34"/>
      <c r="I129" s="34"/>
      <c r="J129" s="34"/>
      <c r="K129" s="34"/>
      <c r="L129" s="34"/>
      <c r="M129" s="34"/>
      <c r="N129" s="34"/>
      <c r="O129" s="34"/>
      <c r="P129" s="34"/>
    </row>
    <row r="130" spans="4:16" ht="15" x14ac:dyDescent="0.25">
      <c r="D130" s="4" t="s">
        <v>109</v>
      </c>
      <c r="G130" s="18" t="s">
        <v>114</v>
      </c>
      <c r="H130" s="34"/>
      <c r="I130" s="34"/>
      <c r="J130" s="34"/>
      <c r="K130" s="34"/>
      <c r="L130" s="34"/>
      <c r="M130" s="34"/>
      <c r="N130" s="34"/>
      <c r="O130" s="34"/>
      <c r="P130" s="34"/>
    </row>
    <row r="131" spans="4:16" x14ac:dyDescent="0.2">
      <c r="G131" s="34"/>
      <c r="H131" s="34"/>
      <c r="I131" s="34"/>
      <c r="J131" s="34"/>
      <c r="K131" s="34"/>
      <c r="L131" s="34"/>
      <c r="M131" s="34"/>
      <c r="N131" s="34"/>
      <c r="O131" s="34"/>
      <c r="P131" s="34"/>
    </row>
    <row r="132" spans="4:16" x14ac:dyDescent="0.2">
      <c r="E132" t="str" cm="1">
        <f t="array" ref="E132:E134">CHAR(_xlfn.SEQUENCE(3,,65))</f>
        <v>A</v>
      </c>
      <c r="G132" s="55" cm="1">
        <f t="array" aca="1" ref="G132:P134" ca="1">SUMIFS(OFFSET(_xlfn.ANCHORARRAY(E15),,1+_xlfn.ANCHORARRAY(G12)),_xlfn.ANCHORARRAY(E15),_xlfn.ANCHORARRAY(E132))</f>
        <v>18</v>
      </c>
      <c r="H132" s="55">
        <f ca="1"/>
        <v>13</v>
      </c>
      <c r="I132" s="55">
        <f ca="1"/>
        <v>11</v>
      </c>
      <c r="J132" s="55">
        <f ca="1"/>
        <v>9</v>
      </c>
      <c r="K132" s="55">
        <f ca="1"/>
        <v>7</v>
      </c>
      <c r="L132" s="55">
        <f ca="1"/>
        <v>16</v>
      </c>
      <c r="M132" s="55">
        <f ca="1"/>
        <v>8</v>
      </c>
      <c r="N132" s="55">
        <f ca="1"/>
        <v>20</v>
      </c>
      <c r="O132" s="55">
        <f ca="1"/>
        <v>9</v>
      </c>
      <c r="P132" s="55">
        <f ca="1"/>
        <v>23</v>
      </c>
    </row>
    <row r="133" spans="4:16" x14ac:dyDescent="0.2">
      <c r="E133" t="str">
        <v>B</v>
      </c>
      <c r="G133" s="55">
        <f ca="1"/>
        <v>27</v>
      </c>
      <c r="H133" s="55">
        <f ca="1"/>
        <v>42</v>
      </c>
      <c r="I133" s="55">
        <f ca="1"/>
        <v>27</v>
      </c>
      <c r="J133" s="55">
        <f ca="1"/>
        <v>21</v>
      </c>
      <c r="K133" s="55">
        <f ca="1"/>
        <v>36</v>
      </c>
      <c r="L133" s="55">
        <f ca="1"/>
        <v>23</v>
      </c>
      <c r="M133" s="55">
        <f ca="1"/>
        <v>30</v>
      </c>
      <c r="N133" s="55">
        <f ca="1"/>
        <v>33</v>
      </c>
      <c r="O133" s="55">
        <f ca="1"/>
        <v>28</v>
      </c>
      <c r="P133" s="55">
        <f ca="1"/>
        <v>14</v>
      </c>
    </row>
    <row r="134" spans="4:16" x14ac:dyDescent="0.2">
      <c r="E134" t="str">
        <v>C</v>
      </c>
      <c r="G134" s="55">
        <f ca="1"/>
        <v>10</v>
      </c>
      <c r="H134" s="55">
        <f ca="1"/>
        <v>1</v>
      </c>
      <c r="I134" s="55">
        <f ca="1"/>
        <v>1</v>
      </c>
      <c r="J134" s="55">
        <f ca="1"/>
        <v>7</v>
      </c>
      <c r="K134" s="55">
        <f ca="1"/>
        <v>3</v>
      </c>
      <c r="L134" s="55">
        <f ca="1"/>
        <v>3</v>
      </c>
      <c r="M134" s="55">
        <f ca="1"/>
        <v>9</v>
      </c>
      <c r="N134" s="55">
        <f ca="1"/>
        <v>8</v>
      </c>
      <c r="O134" s="55">
        <f ca="1"/>
        <v>9</v>
      </c>
      <c r="P134" s="55">
        <f ca="1"/>
        <v>7</v>
      </c>
    </row>
    <row r="135" spans="4:16" x14ac:dyDescent="0.2">
      <c r="G135" s="34"/>
      <c r="H135" s="34"/>
      <c r="I135" s="34"/>
      <c r="J135" s="34"/>
      <c r="K135" s="34"/>
      <c r="L135" s="34"/>
      <c r="M135" s="34"/>
      <c r="N135" s="34"/>
      <c r="O135" s="34"/>
      <c r="P135" s="34"/>
    </row>
    <row r="136" spans="4:16" x14ac:dyDescent="0.2">
      <c r="G136" s="34"/>
      <c r="H136" s="34"/>
      <c r="I136" s="34"/>
      <c r="J136" s="34"/>
      <c r="K136" s="34"/>
      <c r="L136" s="34"/>
      <c r="M136" s="34"/>
      <c r="N136" s="34"/>
      <c r="O136" s="34"/>
      <c r="P136" s="34"/>
    </row>
    <row r="137" spans="4:16" ht="15" x14ac:dyDescent="0.25">
      <c r="D137" s="4" t="s">
        <v>110</v>
      </c>
      <c r="G137" s="34"/>
      <c r="H137" s="34"/>
      <c r="I137" s="34"/>
      <c r="J137" s="34"/>
      <c r="K137" s="34"/>
      <c r="L137" s="34"/>
      <c r="M137" s="34"/>
      <c r="N137" s="34"/>
      <c r="O137" s="34"/>
      <c r="P137" s="34"/>
    </row>
    <row r="138" spans="4:16" x14ac:dyDescent="0.2">
      <c r="G138" s="34"/>
      <c r="H138" s="34"/>
      <c r="I138" s="34"/>
      <c r="J138" s="34"/>
      <c r="K138" s="34"/>
      <c r="L138" s="34"/>
      <c r="M138" s="34"/>
      <c r="N138" s="34"/>
      <c r="O138" s="34"/>
      <c r="P138" s="34"/>
    </row>
    <row r="139" spans="4:16" x14ac:dyDescent="0.2">
      <c r="E139" s="52" t="s">
        <v>89</v>
      </c>
      <c r="G139" s="34"/>
      <c r="H139" s="34"/>
      <c r="I139" s="34"/>
      <c r="J139" s="34"/>
      <c r="K139" s="34"/>
      <c r="L139" s="34"/>
      <c r="M139" s="34"/>
      <c r="N139" s="34"/>
      <c r="O139" s="34"/>
      <c r="P139" s="34"/>
    </row>
    <row r="140" spans="4:16" x14ac:dyDescent="0.2">
      <c r="E140" t="str" cm="1">
        <f t="array" ref="E140:E148">_xlfn._xlws.SORT(_xlfn.ANCHORARRAY(E15))</f>
        <v>A</v>
      </c>
      <c r="G140" s="34" cm="1">
        <f t="array" ref="G140:P148">_xlfn.SORTBY(_xlfn.ANCHORARRAY(G15),_xlfn.ANCHORARRAY(E15))</f>
        <v>4</v>
      </c>
      <c r="H140" s="34">
        <v>2</v>
      </c>
      <c r="I140" s="34">
        <v>2</v>
      </c>
      <c r="J140" s="34">
        <v>2</v>
      </c>
      <c r="K140" s="34">
        <v>0</v>
      </c>
      <c r="L140" s="34">
        <v>1</v>
      </c>
      <c r="M140" s="34">
        <v>0</v>
      </c>
      <c r="N140" s="34">
        <v>8</v>
      </c>
      <c r="O140" s="34">
        <v>4</v>
      </c>
      <c r="P140" s="34">
        <v>8</v>
      </c>
    </row>
    <row r="141" spans="4:16" x14ac:dyDescent="0.2">
      <c r="E141" t="str">
        <v>A</v>
      </c>
      <c r="G141" s="34">
        <v>4</v>
      </c>
      <c r="H141" s="34">
        <v>2</v>
      </c>
      <c r="I141" s="34">
        <v>6</v>
      </c>
      <c r="J141" s="34">
        <v>4</v>
      </c>
      <c r="K141" s="34">
        <v>4</v>
      </c>
      <c r="L141" s="34">
        <v>7</v>
      </c>
      <c r="M141" s="34">
        <v>8</v>
      </c>
      <c r="N141" s="34">
        <v>3</v>
      </c>
      <c r="O141" s="34">
        <v>4</v>
      </c>
      <c r="P141" s="34">
        <v>8</v>
      </c>
    </row>
    <row r="142" spans="4:16" x14ac:dyDescent="0.2">
      <c r="E142" t="str">
        <v>A</v>
      </c>
      <c r="G142" s="34">
        <v>10</v>
      </c>
      <c r="H142" s="34">
        <v>9</v>
      </c>
      <c r="I142" s="34">
        <v>3</v>
      </c>
      <c r="J142" s="34">
        <v>3</v>
      </c>
      <c r="K142" s="34">
        <v>3</v>
      </c>
      <c r="L142" s="34">
        <v>8</v>
      </c>
      <c r="M142" s="34">
        <v>0</v>
      </c>
      <c r="N142" s="34">
        <v>9</v>
      </c>
      <c r="O142" s="34">
        <v>1</v>
      </c>
      <c r="P142" s="34">
        <v>7</v>
      </c>
    </row>
    <row r="143" spans="4:16" x14ac:dyDescent="0.2">
      <c r="E143" t="str">
        <v>B</v>
      </c>
      <c r="G143" s="34">
        <v>1</v>
      </c>
      <c r="H143" s="34">
        <v>9</v>
      </c>
      <c r="I143" s="34">
        <v>3</v>
      </c>
      <c r="J143" s="34">
        <v>5</v>
      </c>
      <c r="K143" s="34">
        <v>3</v>
      </c>
      <c r="L143" s="34">
        <v>9</v>
      </c>
      <c r="M143" s="34">
        <v>3</v>
      </c>
      <c r="N143" s="34">
        <v>3</v>
      </c>
      <c r="O143" s="34">
        <v>3</v>
      </c>
      <c r="P143" s="34">
        <v>9</v>
      </c>
    </row>
    <row r="144" spans="4:16" x14ac:dyDescent="0.2">
      <c r="E144" t="str">
        <v>B</v>
      </c>
      <c r="G144" s="34">
        <v>9</v>
      </c>
      <c r="H144" s="34">
        <v>6</v>
      </c>
      <c r="I144" s="34">
        <v>8</v>
      </c>
      <c r="J144" s="34">
        <v>3</v>
      </c>
      <c r="K144" s="34">
        <v>10</v>
      </c>
      <c r="L144" s="34">
        <v>5</v>
      </c>
      <c r="M144" s="34">
        <v>10</v>
      </c>
      <c r="N144" s="34">
        <v>9</v>
      </c>
      <c r="O144" s="34">
        <v>8</v>
      </c>
      <c r="P144" s="34">
        <v>3</v>
      </c>
    </row>
    <row r="145" spans="3:16" x14ac:dyDescent="0.2">
      <c r="E145" t="str">
        <v>B</v>
      </c>
      <c r="G145" s="34">
        <v>4</v>
      </c>
      <c r="H145" s="34">
        <v>9</v>
      </c>
      <c r="I145" s="34">
        <v>3</v>
      </c>
      <c r="J145" s="34">
        <v>2</v>
      </c>
      <c r="K145" s="34">
        <v>7</v>
      </c>
      <c r="L145" s="34">
        <v>0</v>
      </c>
      <c r="M145" s="34">
        <v>0</v>
      </c>
      <c r="N145" s="34">
        <v>7</v>
      </c>
      <c r="O145" s="34">
        <v>9</v>
      </c>
      <c r="P145" s="34">
        <v>0</v>
      </c>
    </row>
    <row r="146" spans="3:16" x14ac:dyDescent="0.2">
      <c r="E146" t="str">
        <v>B</v>
      </c>
      <c r="G146" s="34">
        <v>9</v>
      </c>
      <c r="H146" s="34">
        <v>9</v>
      </c>
      <c r="I146" s="34">
        <v>6</v>
      </c>
      <c r="J146" s="34">
        <v>9</v>
      </c>
      <c r="K146" s="34">
        <v>8</v>
      </c>
      <c r="L146" s="34">
        <v>9</v>
      </c>
      <c r="M146" s="34">
        <v>10</v>
      </c>
      <c r="N146" s="34">
        <v>7</v>
      </c>
      <c r="O146" s="34">
        <v>5</v>
      </c>
      <c r="P146" s="34">
        <v>2</v>
      </c>
    </row>
    <row r="147" spans="3:16" x14ac:dyDescent="0.2">
      <c r="E147" t="str">
        <v>B</v>
      </c>
      <c r="G147" s="34">
        <v>4</v>
      </c>
      <c r="H147" s="34">
        <v>9</v>
      </c>
      <c r="I147" s="34">
        <v>7</v>
      </c>
      <c r="J147" s="34">
        <v>2</v>
      </c>
      <c r="K147" s="34">
        <v>8</v>
      </c>
      <c r="L147" s="34">
        <v>0</v>
      </c>
      <c r="M147" s="34">
        <v>7</v>
      </c>
      <c r="N147" s="34">
        <v>7</v>
      </c>
      <c r="O147" s="34">
        <v>3</v>
      </c>
      <c r="P147" s="34">
        <v>0</v>
      </c>
    </row>
    <row r="148" spans="3:16" x14ac:dyDescent="0.2">
      <c r="E148" t="str">
        <v>C</v>
      </c>
      <c r="G148" s="34">
        <v>10</v>
      </c>
      <c r="H148" s="34">
        <v>1</v>
      </c>
      <c r="I148" s="34">
        <v>1</v>
      </c>
      <c r="J148" s="34">
        <v>7</v>
      </c>
      <c r="K148" s="34">
        <v>3</v>
      </c>
      <c r="L148" s="34">
        <v>3</v>
      </c>
      <c r="M148" s="34">
        <v>9</v>
      </c>
      <c r="N148" s="34">
        <v>8</v>
      </c>
      <c r="O148" s="34">
        <v>9</v>
      </c>
      <c r="P148" s="34">
        <v>7</v>
      </c>
    </row>
    <row r="149" spans="3:16" x14ac:dyDescent="0.2">
      <c r="G149" s="34"/>
      <c r="H149" s="34"/>
      <c r="I149" s="34"/>
      <c r="J149" s="34"/>
      <c r="K149" s="34"/>
      <c r="L149" s="34"/>
      <c r="M149" s="34"/>
      <c r="N149" s="34"/>
      <c r="O149" s="34"/>
      <c r="P149" s="34"/>
    </row>
    <row r="150" spans="3:16" x14ac:dyDescent="0.2">
      <c r="G150" s="34"/>
      <c r="H150" s="34"/>
      <c r="I150" s="34"/>
      <c r="J150" s="34"/>
      <c r="K150" s="34"/>
      <c r="L150" s="34"/>
      <c r="M150" s="34"/>
      <c r="N150" s="34"/>
      <c r="O150" s="34"/>
      <c r="P150" s="34"/>
    </row>
    <row r="151" spans="3:16" x14ac:dyDescent="0.2">
      <c r="E151" t="str" cm="1">
        <f t="array" ref="E151:E153">CHAR(_xlfn.SEQUENCE(3,,65))</f>
        <v>A</v>
      </c>
      <c r="G151" s="55">
        <f t="array" ref="G151:P153" ca="1">SUM(OFFSET(_xlfn.ANCHORARRAY(G140),MATCH(_xlfn.ANCHORARRAY(E151),_xlfn.ANCHORARRAY(E140),0)-1,,COUNTIF(_xlfn.ANCHORARRAY(E140),_xlfn.ANCHORARRAY(E151)),_xlfn.SEQUENCE(,Number_of_Periods)))</f>
        <v>18</v>
      </c>
      <c r="H151" s="55">
        <f ca="1"/>
        <v>31</v>
      </c>
      <c r="I151" s="55">
        <f ca="1"/>
        <v>42</v>
      </c>
      <c r="J151" s="55">
        <f ca="1"/>
        <v>51</v>
      </c>
      <c r="K151" s="55">
        <f ca="1"/>
        <v>58</v>
      </c>
      <c r="L151" s="55">
        <f ca="1"/>
        <v>74</v>
      </c>
      <c r="M151" s="55">
        <f ca="1"/>
        <v>82</v>
      </c>
      <c r="N151" s="55">
        <f ca="1"/>
        <v>102</v>
      </c>
      <c r="O151" s="55">
        <f ca="1"/>
        <v>111</v>
      </c>
      <c r="P151" s="55">
        <f ca="1"/>
        <v>134</v>
      </c>
    </row>
    <row r="152" spans="3:16" x14ac:dyDescent="0.2">
      <c r="E152" t="str">
        <v>B</v>
      </c>
      <c r="G152" s="55">
        <f ca="1"/>
        <v>27</v>
      </c>
      <c r="H152" s="55">
        <f ca="1"/>
        <v>69</v>
      </c>
      <c r="I152" s="55">
        <f ca="1"/>
        <v>96</v>
      </c>
      <c r="J152" s="55">
        <f ca="1"/>
        <v>117</v>
      </c>
      <c r="K152" s="55">
        <f ca="1"/>
        <v>153</v>
      </c>
      <c r="L152" s="55">
        <f ca="1"/>
        <v>176</v>
      </c>
      <c r="M152" s="55">
        <f ca="1"/>
        <v>206</v>
      </c>
      <c r="N152" s="55">
        <f ca="1"/>
        <v>239</v>
      </c>
      <c r="O152" s="55">
        <f ca="1"/>
        <v>267</v>
      </c>
      <c r="P152" s="55">
        <f ca="1"/>
        <v>281</v>
      </c>
    </row>
    <row r="153" spans="3:16" x14ac:dyDescent="0.2">
      <c r="E153" t="str">
        <v>C</v>
      </c>
      <c r="G153" s="55">
        <f ca="1"/>
        <v>10</v>
      </c>
      <c r="H153" s="55">
        <f ca="1"/>
        <v>11</v>
      </c>
      <c r="I153" s="55">
        <f ca="1"/>
        <v>12</v>
      </c>
      <c r="J153" s="55">
        <f ca="1"/>
        <v>19</v>
      </c>
      <c r="K153" s="55">
        <f ca="1"/>
        <v>22</v>
      </c>
      <c r="L153" s="55">
        <f ca="1"/>
        <v>25</v>
      </c>
      <c r="M153" s="55">
        <f ca="1"/>
        <v>34</v>
      </c>
      <c r="N153" s="55">
        <f ca="1"/>
        <v>42</v>
      </c>
      <c r="O153" s="55">
        <f ca="1"/>
        <v>51</v>
      </c>
      <c r="P153" s="55">
        <f ca="1"/>
        <v>58</v>
      </c>
    </row>
    <row r="154" spans="3:16" x14ac:dyDescent="0.2">
      <c r="G154" s="34"/>
      <c r="H154" s="34"/>
      <c r="I154" s="34"/>
      <c r="J154" s="34"/>
      <c r="K154" s="34"/>
      <c r="L154" s="34"/>
      <c r="M154" s="34"/>
      <c r="N154" s="34"/>
      <c r="O154" s="34"/>
      <c r="P154" s="34"/>
    </row>
    <row r="155" spans="3:16" x14ac:dyDescent="0.2">
      <c r="G155" s="34"/>
      <c r="H155" s="34"/>
      <c r="I155" s="34"/>
      <c r="J155" s="34"/>
      <c r="K155" s="34"/>
      <c r="L155" s="34"/>
      <c r="M155" s="34"/>
      <c r="N155" s="34"/>
      <c r="O155" s="34"/>
      <c r="P155" s="34"/>
    </row>
    <row r="156" spans="3:16" ht="16.5" x14ac:dyDescent="0.25">
      <c r="C156" s="3" t="s">
        <v>88</v>
      </c>
      <c r="D156" s="3"/>
      <c r="G156" s="34"/>
      <c r="H156" s="34"/>
      <c r="I156" s="34"/>
      <c r="J156" s="34"/>
      <c r="K156" s="34"/>
      <c r="L156" s="34"/>
      <c r="M156" s="34"/>
      <c r="N156" s="34"/>
      <c r="O156" s="34"/>
      <c r="P156" s="34"/>
    </row>
    <row r="157" spans="3:16" x14ac:dyDescent="0.2">
      <c r="G157" s="34"/>
      <c r="H157" s="34"/>
      <c r="I157" s="34"/>
      <c r="J157" s="34"/>
      <c r="K157" s="34"/>
      <c r="L157" s="34"/>
      <c r="M157" s="34"/>
      <c r="N157" s="34"/>
      <c r="O157" s="34"/>
      <c r="P157" s="34"/>
    </row>
    <row r="158" spans="3:16" ht="15" x14ac:dyDescent="0.25">
      <c r="D158" s="4" t="s">
        <v>90</v>
      </c>
      <c r="G158" s="34"/>
      <c r="H158" s="34"/>
      <c r="I158" s="34"/>
      <c r="J158" s="34"/>
      <c r="K158" s="34"/>
      <c r="L158" s="34"/>
      <c r="M158" s="34"/>
      <c r="N158" s="34"/>
      <c r="O158" s="34"/>
      <c r="P158" s="34"/>
    </row>
    <row r="159" spans="3:16" x14ac:dyDescent="0.2">
      <c r="G159" s="34"/>
      <c r="H159" s="34"/>
      <c r="I159" s="34"/>
      <c r="J159" s="34"/>
      <c r="K159" s="34"/>
      <c r="L159" s="34"/>
      <c r="M159" s="34"/>
      <c r="N159" s="34"/>
      <c r="O159" s="34"/>
      <c r="P159" s="34"/>
    </row>
    <row r="160" spans="3:16" x14ac:dyDescent="0.2">
      <c r="E160" s="52" t="s">
        <v>89</v>
      </c>
      <c r="G160" s="34" cm="1">
        <f t="array" ref="G160:P169">(_xlfn.ANCHORARRAY(G12)&gt;=TRANSPOSE(_xlfn.ANCHORARRAY(G12)))*1</f>
        <v>1</v>
      </c>
      <c r="H160" s="34">
        <v>1</v>
      </c>
      <c r="I160" s="34">
        <v>1</v>
      </c>
      <c r="J160" s="34">
        <v>1</v>
      </c>
      <c r="K160" s="34">
        <v>1</v>
      </c>
      <c r="L160" s="34">
        <v>1</v>
      </c>
      <c r="M160" s="34">
        <v>1</v>
      </c>
      <c r="N160" s="34">
        <v>1</v>
      </c>
      <c r="O160" s="34">
        <v>1</v>
      </c>
      <c r="P160" s="34">
        <v>1</v>
      </c>
    </row>
    <row r="161" spans="5:18" x14ac:dyDescent="0.2">
      <c r="G161" s="34">
        <v>0</v>
      </c>
      <c r="H161" s="34">
        <v>1</v>
      </c>
      <c r="I161" s="34">
        <v>1</v>
      </c>
      <c r="J161" s="34">
        <v>1</v>
      </c>
      <c r="K161" s="34">
        <v>1</v>
      </c>
      <c r="L161" s="34">
        <v>1</v>
      </c>
      <c r="M161" s="34">
        <v>1</v>
      </c>
      <c r="N161" s="34">
        <v>1</v>
      </c>
      <c r="O161" s="34">
        <v>1</v>
      </c>
      <c r="P161" s="34">
        <v>1</v>
      </c>
    </row>
    <row r="162" spans="5:18" x14ac:dyDescent="0.2">
      <c r="G162" s="34">
        <v>0</v>
      </c>
      <c r="H162" s="34">
        <v>0</v>
      </c>
      <c r="I162" s="34">
        <v>1</v>
      </c>
      <c r="J162" s="34">
        <v>1</v>
      </c>
      <c r="K162" s="34">
        <v>1</v>
      </c>
      <c r="L162" s="34">
        <v>1</v>
      </c>
      <c r="M162" s="34">
        <v>1</v>
      </c>
      <c r="N162" s="34">
        <v>1</v>
      </c>
      <c r="O162" s="34">
        <v>1</v>
      </c>
      <c r="P162" s="34">
        <v>1</v>
      </c>
    </row>
    <row r="163" spans="5:18" x14ac:dyDescent="0.2">
      <c r="G163" s="34">
        <v>0</v>
      </c>
      <c r="H163" s="34">
        <v>0</v>
      </c>
      <c r="I163" s="34">
        <v>0</v>
      </c>
      <c r="J163" s="34">
        <v>1</v>
      </c>
      <c r="K163" s="34">
        <v>1</v>
      </c>
      <c r="L163" s="34">
        <v>1</v>
      </c>
      <c r="M163" s="34">
        <v>1</v>
      </c>
      <c r="N163" s="34">
        <v>1</v>
      </c>
      <c r="O163" s="34">
        <v>1</v>
      </c>
      <c r="P163" s="34">
        <v>1</v>
      </c>
    </row>
    <row r="164" spans="5:18" x14ac:dyDescent="0.2">
      <c r="G164" s="34">
        <v>0</v>
      </c>
      <c r="H164" s="34">
        <v>0</v>
      </c>
      <c r="I164" s="34">
        <v>0</v>
      </c>
      <c r="J164" s="34">
        <v>0</v>
      </c>
      <c r="K164" s="34">
        <v>1</v>
      </c>
      <c r="L164" s="34">
        <v>1</v>
      </c>
      <c r="M164" s="34">
        <v>1</v>
      </c>
      <c r="N164" s="34">
        <v>1</v>
      </c>
      <c r="O164" s="34">
        <v>1</v>
      </c>
      <c r="P164" s="34">
        <v>1</v>
      </c>
    </row>
    <row r="165" spans="5:18" x14ac:dyDescent="0.2">
      <c r="G165" s="34">
        <v>0</v>
      </c>
      <c r="H165" s="34">
        <v>0</v>
      </c>
      <c r="I165" s="34">
        <v>0</v>
      </c>
      <c r="J165" s="34">
        <v>0</v>
      </c>
      <c r="K165" s="34">
        <v>0</v>
      </c>
      <c r="L165" s="34">
        <v>1</v>
      </c>
      <c r="M165" s="34">
        <v>1</v>
      </c>
      <c r="N165" s="34">
        <v>1</v>
      </c>
      <c r="O165" s="34">
        <v>1</v>
      </c>
      <c r="P165" s="34">
        <v>1</v>
      </c>
    </row>
    <row r="166" spans="5:18" x14ac:dyDescent="0.2">
      <c r="G166" s="34">
        <v>0</v>
      </c>
      <c r="H166" s="34">
        <v>0</v>
      </c>
      <c r="I166" s="34">
        <v>0</v>
      </c>
      <c r="J166" s="34">
        <v>0</v>
      </c>
      <c r="K166" s="34">
        <v>0</v>
      </c>
      <c r="L166" s="34">
        <v>0</v>
      </c>
      <c r="M166" s="34">
        <v>1</v>
      </c>
      <c r="N166" s="34">
        <v>1</v>
      </c>
      <c r="O166" s="34">
        <v>1</v>
      </c>
      <c r="P166" s="34">
        <v>1</v>
      </c>
    </row>
    <row r="167" spans="5:18" x14ac:dyDescent="0.2">
      <c r="G167" s="34">
        <v>0</v>
      </c>
      <c r="H167" s="34">
        <v>0</v>
      </c>
      <c r="I167" s="34">
        <v>0</v>
      </c>
      <c r="J167" s="34">
        <v>0</v>
      </c>
      <c r="K167" s="34">
        <v>0</v>
      </c>
      <c r="L167" s="34">
        <v>0</v>
      </c>
      <c r="M167" s="34">
        <v>0</v>
      </c>
      <c r="N167" s="34">
        <v>1</v>
      </c>
      <c r="O167" s="34">
        <v>1</v>
      </c>
      <c r="P167" s="34">
        <v>1</v>
      </c>
    </row>
    <row r="168" spans="5:18" x14ac:dyDescent="0.2">
      <c r="G168" s="34">
        <v>0</v>
      </c>
      <c r="H168" s="34">
        <v>0</v>
      </c>
      <c r="I168" s="34">
        <v>0</v>
      </c>
      <c r="J168" s="34">
        <v>0</v>
      </c>
      <c r="K168" s="34">
        <v>0</v>
      </c>
      <c r="L168" s="34">
        <v>0</v>
      </c>
      <c r="M168" s="34">
        <v>0</v>
      </c>
      <c r="N168" s="34">
        <v>0</v>
      </c>
      <c r="O168" s="34">
        <v>1</v>
      </c>
      <c r="P168" s="34">
        <v>1</v>
      </c>
    </row>
    <row r="169" spans="5:18" x14ac:dyDescent="0.2">
      <c r="G169" s="34">
        <v>0</v>
      </c>
      <c r="H169" s="34">
        <v>0</v>
      </c>
      <c r="I169" s="34">
        <v>0</v>
      </c>
      <c r="J169" s="34">
        <v>0</v>
      </c>
      <c r="K169" s="34">
        <v>0</v>
      </c>
      <c r="L169" s="34">
        <v>0</v>
      </c>
      <c r="M169" s="34">
        <v>0</v>
      </c>
      <c r="N169" s="34">
        <v>0</v>
      </c>
      <c r="O169" s="34">
        <v>0</v>
      </c>
      <c r="P169" s="34">
        <v>1</v>
      </c>
    </row>
    <row r="170" spans="5:18" x14ac:dyDescent="0.2">
      <c r="G170" s="34"/>
      <c r="H170" s="34"/>
      <c r="I170" s="34"/>
      <c r="J170" s="34"/>
      <c r="K170" s="34"/>
      <c r="L170" s="34"/>
      <c r="M170" s="34"/>
      <c r="N170" s="34"/>
      <c r="O170" s="34"/>
      <c r="P170" s="34"/>
    </row>
    <row r="171" spans="5:18" x14ac:dyDescent="0.2">
      <c r="G171" s="34"/>
      <c r="H171" s="34"/>
      <c r="I171" s="34"/>
      <c r="J171" s="34"/>
      <c r="K171" s="34"/>
      <c r="L171" s="34"/>
      <c r="M171" s="34"/>
      <c r="N171" s="34"/>
      <c r="O171" s="34"/>
      <c r="P171" s="34"/>
    </row>
    <row r="172" spans="5:18" x14ac:dyDescent="0.2">
      <c r="E172" s="52"/>
      <c r="G172" s="34"/>
      <c r="H172" s="34"/>
      <c r="I172" s="34"/>
      <c r="J172" s="34"/>
      <c r="K172" s="34"/>
      <c r="L172" s="34"/>
      <c r="M172" s="34"/>
      <c r="N172" s="34"/>
      <c r="O172" s="34"/>
      <c r="P172" s="34"/>
    </row>
    <row r="173" spans="5:18" x14ac:dyDescent="0.2">
      <c r="E173" t="str" cm="1">
        <f t="array" ref="E173:E181">_xlfn.ANCHORARRAY(E15)</f>
        <v>B</v>
      </c>
      <c r="G173" s="34" cm="1">
        <f t="array" ref="G173:P181">MMULT(_xlfn.ANCHORARRAY(G15),_xlfn.ANCHORARRAY(G160))</f>
        <v>1</v>
      </c>
      <c r="H173" s="34">
        <v>10</v>
      </c>
      <c r="I173" s="34">
        <v>13</v>
      </c>
      <c r="J173" s="34">
        <v>18</v>
      </c>
      <c r="K173" s="34">
        <v>21</v>
      </c>
      <c r="L173" s="34">
        <v>30</v>
      </c>
      <c r="M173" s="34">
        <v>33</v>
      </c>
      <c r="N173" s="34">
        <v>36</v>
      </c>
      <c r="O173" s="34">
        <v>39</v>
      </c>
      <c r="P173" s="34">
        <v>48</v>
      </c>
      <c r="R173" s="56"/>
    </row>
    <row r="174" spans="5:18" x14ac:dyDescent="0.2">
      <c r="E174" t="str">
        <v>B</v>
      </c>
      <c r="G174" s="34">
        <v>9</v>
      </c>
      <c r="H174" s="34">
        <v>15</v>
      </c>
      <c r="I174" s="34">
        <v>23</v>
      </c>
      <c r="J174" s="34">
        <v>26</v>
      </c>
      <c r="K174" s="34">
        <v>36</v>
      </c>
      <c r="L174" s="34">
        <v>41</v>
      </c>
      <c r="M174" s="34">
        <v>51</v>
      </c>
      <c r="N174" s="34">
        <v>60</v>
      </c>
      <c r="O174" s="34">
        <v>68</v>
      </c>
      <c r="P174" s="34">
        <v>71</v>
      </c>
    </row>
    <row r="175" spans="5:18" x14ac:dyDescent="0.2">
      <c r="E175" t="str">
        <v>A</v>
      </c>
      <c r="G175" s="34">
        <v>4</v>
      </c>
      <c r="H175" s="34">
        <v>6</v>
      </c>
      <c r="I175" s="34">
        <v>8</v>
      </c>
      <c r="J175" s="34">
        <v>10</v>
      </c>
      <c r="K175" s="34">
        <v>10</v>
      </c>
      <c r="L175" s="34">
        <v>11</v>
      </c>
      <c r="M175" s="34">
        <v>11</v>
      </c>
      <c r="N175" s="34">
        <v>19</v>
      </c>
      <c r="O175" s="34">
        <v>23</v>
      </c>
      <c r="P175" s="34">
        <v>31</v>
      </c>
    </row>
    <row r="176" spans="5:18" x14ac:dyDescent="0.2">
      <c r="E176" t="str">
        <v>A</v>
      </c>
      <c r="G176" s="34">
        <v>4</v>
      </c>
      <c r="H176" s="34">
        <v>6</v>
      </c>
      <c r="I176" s="34">
        <v>12</v>
      </c>
      <c r="J176" s="34">
        <v>16</v>
      </c>
      <c r="K176" s="34">
        <v>20</v>
      </c>
      <c r="L176" s="34">
        <v>27</v>
      </c>
      <c r="M176" s="34">
        <v>35</v>
      </c>
      <c r="N176" s="34">
        <v>38</v>
      </c>
      <c r="O176" s="34">
        <v>42</v>
      </c>
      <c r="P176" s="34">
        <v>50</v>
      </c>
    </row>
    <row r="177" spans="4:16" x14ac:dyDescent="0.2">
      <c r="E177" t="str">
        <v>C</v>
      </c>
      <c r="G177" s="34">
        <v>10</v>
      </c>
      <c r="H177" s="34">
        <v>11</v>
      </c>
      <c r="I177" s="34">
        <v>12</v>
      </c>
      <c r="J177" s="34">
        <v>19</v>
      </c>
      <c r="K177" s="34">
        <v>22</v>
      </c>
      <c r="L177" s="34">
        <v>25</v>
      </c>
      <c r="M177" s="34">
        <v>34</v>
      </c>
      <c r="N177" s="34">
        <v>42</v>
      </c>
      <c r="O177" s="34">
        <v>51</v>
      </c>
      <c r="P177" s="34">
        <v>58</v>
      </c>
    </row>
    <row r="178" spans="4:16" x14ac:dyDescent="0.2">
      <c r="E178" t="str">
        <v>A</v>
      </c>
      <c r="G178" s="34">
        <v>10</v>
      </c>
      <c r="H178" s="34">
        <v>19</v>
      </c>
      <c r="I178" s="34">
        <v>22</v>
      </c>
      <c r="J178" s="34">
        <v>25</v>
      </c>
      <c r="K178" s="34">
        <v>28</v>
      </c>
      <c r="L178" s="34">
        <v>36</v>
      </c>
      <c r="M178" s="34">
        <v>36</v>
      </c>
      <c r="N178" s="34">
        <v>45</v>
      </c>
      <c r="O178" s="34">
        <v>46</v>
      </c>
      <c r="P178" s="34">
        <v>53</v>
      </c>
    </row>
    <row r="179" spans="4:16" x14ac:dyDescent="0.2">
      <c r="E179" t="str">
        <v>B</v>
      </c>
      <c r="G179" s="34">
        <v>4</v>
      </c>
      <c r="H179" s="34">
        <v>13</v>
      </c>
      <c r="I179" s="34">
        <v>16</v>
      </c>
      <c r="J179" s="34">
        <v>18</v>
      </c>
      <c r="K179" s="34">
        <v>25</v>
      </c>
      <c r="L179" s="34">
        <v>25</v>
      </c>
      <c r="M179" s="34">
        <v>25</v>
      </c>
      <c r="N179" s="34">
        <v>32</v>
      </c>
      <c r="O179" s="34">
        <v>41</v>
      </c>
      <c r="P179" s="34">
        <v>41</v>
      </c>
    </row>
    <row r="180" spans="4:16" x14ac:dyDescent="0.2">
      <c r="E180" t="str">
        <v>B</v>
      </c>
      <c r="G180" s="34">
        <v>9</v>
      </c>
      <c r="H180" s="34">
        <v>18</v>
      </c>
      <c r="I180" s="34">
        <v>24</v>
      </c>
      <c r="J180" s="34">
        <v>33</v>
      </c>
      <c r="K180" s="34">
        <v>41</v>
      </c>
      <c r="L180" s="34">
        <v>50</v>
      </c>
      <c r="M180" s="34">
        <v>60</v>
      </c>
      <c r="N180" s="34">
        <v>67</v>
      </c>
      <c r="O180" s="34">
        <v>72</v>
      </c>
      <c r="P180" s="34">
        <v>74</v>
      </c>
    </row>
    <row r="181" spans="4:16" x14ac:dyDescent="0.2">
      <c r="E181" t="str">
        <v>B</v>
      </c>
      <c r="G181" s="34">
        <v>4</v>
      </c>
      <c r="H181" s="34">
        <v>13</v>
      </c>
      <c r="I181" s="34">
        <v>20</v>
      </c>
      <c r="J181" s="34">
        <v>22</v>
      </c>
      <c r="K181" s="34">
        <v>30</v>
      </c>
      <c r="L181" s="34">
        <v>30</v>
      </c>
      <c r="M181" s="34">
        <v>37</v>
      </c>
      <c r="N181" s="34">
        <v>44</v>
      </c>
      <c r="O181" s="34">
        <v>47</v>
      </c>
      <c r="P181" s="34">
        <v>47</v>
      </c>
    </row>
    <row r="182" spans="4:16" x14ac:dyDescent="0.2">
      <c r="G182" s="34"/>
      <c r="H182" s="34"/>
      <c r="I182" s="34"/>
      <c r="J182" s="34"/>
      <c r="K182" s="34"/>
      <c r="L182" s="34"/>
      <c r="M182" s="34"/>
      <c r="N182" s="34"/>
      <c r="O182" s="34"/>
      <c r="P182" s="34"/>
    </row>
    <row r="183" spans="4:16" x14ac:dyDescent="0.2">
      <c r="G183" s="34"/>
      <c r="H183" s="34"/>
      <c r="I183" s="34"/>
      <c r="J183" s="34"/>
      <c r="K183" s="34"/>
      <c r="L183" s="34"/>
      <c r="M183" s="34"/>
      <c r="N183" s="34"/>
      <c r="O183" s="34"/>
      <c r="P183" s="34"/>
    </row>
    <row r="184" spans="4:16" ht="15" x14ac:dyDescent="0.25">
      <c r="D184" s="4" t="s">
        <v>91</v>
      </c>
      <c r="G184" s="34"/>
      <c r="H184" s="34"/>
      <c r="I184" s="34"/>
      <c r="J184" s="34"/>
      <c r="K184" s="34"/>
      <c r="L184" s="34"/>
      <c r="M184" s="34"/>
      <c r="N184" s="34"/>
      <c r="O184" s="34"/>
      <c r="P184" s="34"/>
    </row>
    <row r="185" spans="4:16" x14ac:dyDescent="0.2">
      <c r="G185" s="34"/>
      <c r="H185" s="34"/>
      <c r="I185" s="34"/>
      <c r="J185" s="34"/>
      <c r="K185" s="34"/>
      <c r="L185" s="34"/>
      <c r="M185" s="34"/>
      <c r="N185" s="34"/>
      <c r="O185" s="34"/>
      <c r="P185" s="34"/>
    </row>
    <row r="186" spans="4:16" x14ac:dyDescent="0.2">
      <c r="G186" s="34" cm="1">
        <f t="array" aca="1" ref="G186:P194" ca="1">SUBTOTAL(9,OFFSET(_xlfn.ANCHORARRAY(G15),_xlfn.SEQUENCE(ROWS(_xlfn.ANCHORARRAY(G15)),,0),0,1,_xlfn.SEQUENCE(,Number_of_Periods)))</f>
        <v>1</v>
      </c>
      <c r="H186" s="34">
        <f ca="1"/>
        <v>10</v>
      </c>
      <c r="I186" s="34">
        <f ca="1"/>
        <v>13</v>
      </c>
      <c r="J186" s="34">
        <f ca="1"/>
        <v>18</v>
      </c>
      <c r="K186" s="34">
        <f ca="1"/>
        <v>21</v>
      </c>
      <c r="L186" s="34">
        <f ca="1"/>
        <v>30</v>
      </c>
      <c r="M186" s="34">
        <f ca="1"/>
        <v>33</v>
      </c>
      <c r="N186" s="34">
        <f ca="1"/>
        <v>36</v>
      </c>
      <c r="O186" s="34">
        <f ca="1"/>
        <v>39</v>
      </c>
      <c r="P186" s="34">
        <f ca="1"/>
        <v>48</v>
      </c>
    </row>
    <row r="187" spans="4:16" x14ac:dyDescent="0.2">
      <c r="G187" s="34">
        <f ca="1"/>
        <v>9</v>
      </c>
      <c r="H187" s="34">
        <f ca="1"/>
        <v>15</v>
      </c>
      <c r="I187" s="34">
        <f ca="1"/>
        <v>23</v>
      </c>
      <c r="J187" s="34">
        <f ca="1"/>
        <v>26</v>
      </c>
      <c r="K187" s="34">
        <f ca="1"/>
        <v>36</v>
      </c>
      <c r="L187" s="34">
        <f ca="1"/>
        <v>41</v>
      </c>
      <c r="M187" s="34">
        <f ca="1"/>
        <v>51</v>
      </c>
      <c r="N187" s="34">
        <f ca="1"/>
        <v>60</v>
      </c>
      <c r="O187" s="34">
        <f ca="1"/>
        <v>68</v>
      </c>
      <c r="P187" s="34">
        <f ca="1"/>
        <v>71</v>
      </c>
    </row>
    <row r="188" spans="4:16" x14ac:dyDescent="0.2">
      <c r="G188" s="34">
        <f ca="1"/>
        <v>4</v>
      </c>
      <c r="H188" s="34">
        <f ca="1"/>
        <v>6</v>
      </c>
      <c r="I188" s="34">
        <f ca="1"/>
        <v>8</v>
      </c>
      <c r="J188" s="34">
        <f ca="1"/>
        <v>10</v>
      </c>
      <c r="K188" s="34">
        <f ca="1"/>
        <v>10</v>
      </c>
      <c r="L188" s="34">
        <f ca="1"/>
        <v>11</v>
      </c>
      <c r="M188" s="34">
        <f ca="1"/>
        <v>11</v>
      </c>
      <c r="N188" s="34">
        <f ca="1"/>
        <v>19</v>
      </c>
      <c r="O188" s="34">
        <f ca="1"/>
        <v>23</v>
      </c>
      <c r="P188" s="34">
        <f ca="1"/>
        <v>31</v>
      </c>
    </row>
    <row r="189" spans="4:16" x14ac:dyDescent="0.2">
      <c r="G189" s="34">
        <f ca="1"/>
        <v>4</v>
      </c>
      <c r="H189" s="34">
        <f ca="1"/>
        <v>6</v>
      </c>
      <c r="I189" s="34">
        <f ca="1"/>
        <v>12</v>
      </c>
      <c r="J189" s="34">
        <f ca="1"/>
        <v>16</v>
      </c>
      <c r="K189" s="34">
        <f ca="1"/>
        <v>20</v>
      </c>
      <c r="L189" s="34">
        <f ca="1"/>
        <v>27</v>
      </c>
      <c r="M189" s="34">
        <f ca="1"/>
        <v>35</v>
      </c>
      <c r="N189" s="34">
        <f ca="1"/>
        <v>38</v>
      </c>
      <c r="O189" s="34">
        <f ca="1"/>
        <v>42</v>
      </c>
      <c r="P189" s="34">
        <f ca="1"/>
        <v>50</v>
      </c>
    </row>
    <row r="190" spans="4:16" x14ac:dyDescent="0.2">
      <c r="G190" s="34">
        <f ca="1"/>
        <v>10</v>
      </c>
      <c r="H190" s="34">
        <f ca="1"/>
        <v>11</v>
      </c>
      <c r="I190" s="34">
        <f ca="1"/>
        <v>12</v>
      </c>
      <c r="J190" s="34">
        <f ca="1"/>
        <v>19</v>
      </c>
      <c r="K190" s="34">
        <f ca="1"/>
        <v>22</v>
      </c>
      <c r="L190" s="34">
        <f ca="1"/>
        <v>25</v>
      </c>
      <c r="M190" s="34">
        <f ca="1"/>
        <v>34</v>
      </c>
      <c r="N190" s="34">
        <f ca="1"/>
        <v>42</v>
      </c>
      <c r="O190" s="34">
        <f ca="1"/>
        <v>51</v>
      </c>
      <c r="P190" s="34">
        <f ca="1"/>
        <v>58</v>
      </c>
    </row>
    <row r="191" spans="4:16" x14ac:dyDescent="0.2">
      <c r="G191" s="34">
        <f ca="1"/>
        <v>10</v>
      </c>
      <c r="H191" s="34">
        <f ca="1"/>
        <v>19</v>
      </c>
      <c r="I191" s="34">
        <f ca="1"/>
        <v>22</v>
      </c>
      <c r="J191" s="34">
        <f ca="1"/>
        <v>25</v>
      </c>
      <c r="K191" s="34">
        <f ca="1"/>
        <v>28</v>
      </c>
      <c r="L191" s="34">
        <f ca="1"/>
        <v>36</v>
      </c>
      <c r="M191" s="34">
        <f ca="1"/>
        <v>36</v>
      </c>
      <c r="N191" s="34">
        <f ca="1"/>
        <v>45</v>
      </c>
      <c r="O191" s="34">
        <f ca="1"/>
        <v>46</v>
      </c>
      <c r="P191" s="34">
        <f ca="1"/>
        <v>53</v>
      </c>
    </row>
    <row r="192" spans="4:16" x14ac:dyDescent="0.2">
      <c r="G192" s="34">
        <f ca="1"/>
        <v>4</v>
      </c>
      <c r="H192" s="34">
        <f ca="1"/>
        <v>13</v>
      </c>
      <c r="I192" s="34">
        <f ca="1"/>
        <v>16</v>
      </c>
      <c r="J192" s="34">
        <f ca="1"/>
        <v>18</v>
      </c>
      <c r="K192" s="34">
        <f ca="1"/>
        <v>25</v>
      </c>
      <c r="L192" s="34">
        <f ca="1"/>
        <v>25</v>
      </c>
      <c r="M192" s="34">
        <f ca="1"/>
        <v>25</v>
      </c>
      <c r="N192" s="34">
        <f ca="1"/>
        <v>32</v>
      </c>
      <c r="O192" s="34">
        <f ca="1"/>
        <v>41</v>
      </c>
      <c r="P192" s="34">
        <f ca="1"/>
        <v>41</v>
      </c>
    </row>
    <row r="193" spans="4:16" x14ac:dyDescent="0.2">
      <c r="G193" s="34">
        <f ca="1"/>
        <v>9</v>
      </c>
      <c r="H193" s="34">
        <f ca="1"/>
        <v>18</v>
      </c>
      <c r="I193" s="34">
        <f ca="1"/>
        <v>24</v>
      </c>
      <c r="J193" s="34">
        <f ca="1"/>
        <v>33</v>
      </c>
      <c r="K193" s="34">
        <f ca="1"/>
        <v>41</v>
      </c>
      <c r="L193" s="34">
        <f ca="1"/>
        <v>50</v>
      </c>
      <c r="M193" s="34">
        <f ca="1"/>
        <v>60</v>
      </c>
      <c r="N193" s="34">
        <f ca="1"/>
        <v>67</v>
      </c>
      <c r="O193" s="34">
        <f ca="1"/>
        <v>72</v>
      </c>
      <c r="P193" s="34">
        <f ca="1"/>
        <v>74</v>
      </c>
    </row>
    <row r="194" spans="4:16" x14ac:dyDescent="0.2">
      <c r="G194" s="34">
        <f ca="1"/>
        <v>4</v>
      </c>
      <c r="H194" s="34">
        <f ca="1"/>
        <v>13</v>
      </c>
      <c r="I194" s="34">
        <f ca="1"/>
        <v>20</v>
      </c>
      <c r="J194" s="34">
        <f ca="1"/>
        <v>22</v>
      </c>
      <c r="K194" s="34">
        <f ca="1"/>
        <v>30</v>
      </c>
      <c r="L194" s="34">
        <f ca="1"/>
        <v>30</v>
      </c>
      <c r="M194" s="34">
        <f ca="1"/>
        <v>37</v>
      </c>
      <c r="N194" s="34">
        <f ca="1"/>
        <v>44</v>
      </c>
      <c r="O194" s="34">
        <f ca="1"/>
        <v>47</v>
      </c>
      <c r="P194" s="34">
        <f ca="1"/>
        <v>47</v>
      </c>
    </row>
    <row r="195" spans="4:16" x14ac:dyDescent="0.2">
      <c r="G195" s="34"/>
      <c r="H195" s="34"/>
      <c r="I195" s="34"/>
      <c r="J195" s="34"/>
      <c r="K195" s="34"/>
      <c r="L195" s="34"/>
      <c r="M195" s="34"/>
      <c r="N195" s="34"/>
      <c r="O195" s="34"/>
      <c r="P195" s="34"/>
    </row>
    <row r="196" spans="4:16" ht="15" x14ac:dyDescent="0.25">
      <c r="D196" s="4" t="s">
        <v>92</v>
      </c>
      <c r="G196" s="34"/>
      <c r="H196" s="34"/>
      <c r="I196" s="34"/>
      <c r="J196" s="34"/>
      <c r="K196" s="34"/>
      <c r="L196" s="34"/>
      <c r="M196" s="34"/>
      <c r="N196" s="34"/>
      <c r="O196" s="34"/>
      <c r="P196" s="34"/>
    </row>
    <row r="197" spans="4:16" x14ac:dyDescent="0.2">
      <c r="G197" s="34"/>
      <c r="H197" s="34"/>
      <c r="I197" s="34"/>
      <c r="J197" s="34"/>
      <c r="K197" s="34"/>
      <c r="L197" s="34"/>
      <c r="M197" s="34"/>
      <c r="N197" s="34"/>
      <c r="O197" s="34"/>
      <c r="P197" s="34"/>
    </row>
    <row r="198" spans="4:16" x14ac:dyDescent="0.2">
      <c r="G198" s="34">
        <f t="array" ref="G198:P206" ca="1">SUM(OFFSET(_xlfn.ANCHORARRAY(G15),_xlfn.SEQUENCE(ROWS(_xlfn.ANCHORARRAY(G15)),,0),0,1,_xlfn.SEQUENCE(,Number_of_Periods)))</f>
        <v>1</v>
      </c>
      <c r="H198" s="34">
        <f ca="1"/>
        <v>10</v>
      </c>
      <c r="I198" s="34">
        <f ca="1"/>
        <v>13</v>
      </c>
      <c r="J198" s="34">
        <f ca="1"/>
        <v>18</v>
      </c>
      <c r="K198" s="34">
        <f ca="1"/>
        <v>21</v>
      </c>
      <c r="L198" s="34">
        <f ca="1"/>
        <v>30</v>
      </c>
      <c r="M198" s="34">
        <f ca="1"/>
        <v>33</v>
      </c>
      <c r="N198" s="34">
        <f ca="1"/>
        <v>36</v>
      </c>
      <c r="O198" s="34">
        <f ca="1"/>
        <v>39</v>
      </c>
      <c r="P198" s="34">
        <f ca="1"/>
        <v>48</v>
      </c>
    </row>
    <row r="199" spans="4:16" x14ac:dyDescent="0.2">
      <c r="G199" s="34">
        <f ca="1"/>
        <v>9</v>
      </c>
      <c r="H199" s="34">
        <f ca="1"/>
        <v>15</v>
      </c>
      <c r="I199" s="34">
        <f ca="1"/>
        <v>23</v>
      </c>
      <c r="J199" s="34">
        <f ca="1"/>
        <v>26</v>
      </c>
      <c r="K199" s="34">
        <f ca="1"/>
        <v>36</v>
      </c>
      <c r="L199" s="34">
        <f ca="1"/>
        <v>41</v>
      </c>
      <c r="M199" s="34">
        <f ca="1"/>
        <v>51</v>
      </c>
      <c r="N199" s="34">
        <f ca="1"/>
        <v>60</v>
      </c>
      <c r="O199" s="34">
        <f ca="1"/>
        <v>68</v>
      </c>
      <c r="P199" s="34">
        <f ca="1"/>
        <v>71</v>
      </c>
    </row>
    <row r="200" spans="4:16" x14ac:dyDescent="0.2">
      <c r="G200" s="34">
        <f ca="1"/>
        <v>4</v>
      </c>
      <c r="H200" s="34">
        <f ca="1"/>
        <v>6</v>
      </c>
      <c r="I200" s="34">
        <f ca="1"/>
        <v>8</v>
      </c>
      <c r="J200" s="34">
        <f ca="1"/>
        <v>10</v>
      </c>
      <c r="K200" s="34">
        <f ca="1"/>
        <v>10</v>
      </c>
      <c r="L200" s="34">
        <f ca="1"/>
        <v>11</v>
      </c>
      <c r="M200" s="34">
        <f ca="1"/>
        <v>11</v>
      </c>
      <c r="N200" s="34">
        <f ca="1"/>
        <v>19</v>
      </c>
      <c r="O200" s="34">
        <f ca="1"/>
        <v>23</v>
      </c>
      <c r="P200" s="34">
        <f ca="1"/>
        <v>31</v>
      </c>
    </row>
    <row r="201" spans="4:16" x14ac:dyDescent="0.2">
      <c r="G201" s="34">
        <f ca="1"/>
        <v>4</v>
      </c>
      <c r="H201" s="34">
        <f ca="1"/>
        <v>6</v>
      </c>
      <c r="I201" s="34">
        <f ca="1"/>
        <v>12</v>
      </c>
      <c r="J201" s="34">
        <f ca="1"/>
        <v>16</v>
      </c>
      <c r="K201" s="34">
        <f ca="1"/>
        <v>20</v>
      </c>
      <c r="L201" s="34">
        <f ca="1"/>
        <v>27</v>
      </c>
      <c r="M201" s="34">
        <f ca="1"/>
        <v>35</v>
      </c>
      <c r="N201" s="34">
        <f ca="1"/>
        <v>38</v>
      </c>
      <c r="O201" s="34">
        <f ca="1"/>
        <v>42</v>
      </c>
      <c r="P201" s="34">
        <f ca="1"/>
        <v>50</v>
      </c>
    </row>
    <row r="202" spans="4:16" x14ac:dyDescent="0.2">
      <c r="G202" s="34">
        <f ca="1"/>
        <v>10</v>
      </c>
      <c r="H202" s="34">
        <f ca="1"/>
        <v>11</v>
      </c>
      <c r="I202" s="34">
        <f ca="1"/>
        <v>12</v>
      </c>
      <c r="J202" s="34">
        <f ca="1"/>
        <v>19</v>
      </c>
      <c r="K202" s="34">
        <f ca="1"/>
        <v>22</v>
      </c>
      <c r="L202" s="34">
        <f ca="1"/>
        <v>25</v>
      </c>
      <c r="M202" s="34">
        <f ca="1"/>
        <v>34</v>
      </c>
      <c r="N202" s="34">
        <f ca="1"/>
        <v>42</v>
      </c>
      <c r="O202" s="34">
        <f ca="1"/>
        <v>51</v>
      </c>
      <c r="P202" s="34">
        <f ca="1"/>
        <v>58</v>
      </c>
    </row>
    <row r="203" spans="4:16" x14ac:dyDescent="0.2">
      <c r="G203" s="34">
        <f ca="1"/>
        <v>10</v>
      </c>
      <c r="H203" s="34">
        <f ca="1"/>
        <v>19</v>
      </c>
      <c r="I203" s="34">
        <f ca="1"/>
        <v>22</v>
      </c>
      <c r="J203" s="34">
        <f ca="1"/>
        <v>25</v>
      </c>
      <c r="K203" s="34">
        <f ca="1"/>
        <v>28</v>
      </c>
      <c r="L203" s="34">
        <f ca="1"/>
        <v>36</v>
      </c>
      <c r="M203" s="34">
        <f ca="1"/>
        <v>36</v>
      </c>
      <c r="N203" s="34">
        <f ca="1"/>
        <v>45</v>
      </c>
      <c r="O203" s="34">
        <f ca="1"/>
        <v>46</v>
      </c>
      <c r="P203" s="34">
        <f ca="1"/>
        <v>53</v>
      </c>
    </row>
    <row r="204" spans="4:16" x14ac:dyDescent="0.2">
      <c r="G204" s="34">
        <f ca="1"/>
        <v>4</v>
      </c>
      <c r="H204" s="34">
        <f ca="1"/>
        <v>13</v>
      </c>
      <c r="I204" s="34">
        <f ca="1"/>
        <v>16</v>
      </c>
      <c r="J204" s="34">
        <f ca="1"/>
        <v>18</v>
      </c>
      <c r="K204" s="34">
        <f ca="1"/>
        <v>25</v>
      </c>
      <c r="L204" s="34">
        <f ca="1"/>
        <v>25</v>
      </c>
      <c r="M204" s="34">
        <f ca="1"/>
        <v>25</v>
      </c>
      <c r="N204" s="34">
        <f ca="1"/>
        <v>32</v>
      </c>
      <c r="O204" s="34">
        <f ca="1"/>
        <v>41</v>
      </c>
      <c r="P204" s="34">
        <f ca="1"/>
        <v>41</v>
      </c>
    </row>
    <row r="205" spans="4:16" x14ac:dyDescent="0.2">
      <c r="G205" s="34">
        <f ca="1"/>
        <v>9</v>
      </c>
      <c r="H205" s="34">
        <f ca="1"/>
        <v>18</v>
      </c>
      <c r="I205" s="34">
        <f ca="1"/>
        <v>24</v>
      </c>
      <c r="J205" s="34">
        <f ca="1"/>
        <v>33</v>
      </c>
      <c r="K205" s="34">
        <f ca="1"/>
        <v>41</v>
      </c>
      <c r="L205" s="34">
        <f ca="1"/>
        <v>50</v>
      </c>
      <c r="M205" s="34">
        <f ca="1"/>
        <v>60</v>
      </c>
      <c r="N205" s="34">
        <f ca="1"/>
        <v>67</v>
      </c>
      <c r="O205" s="34">
        <f ca="1"/>
        <v>72</v>
      </c>
      <c r="P205" s="34">
        <f ca="1"/>
        <v>74</v>
      </c>
    </row>
    <row r="206" spans="4:16" x14ac:dyDescent="0.2">
      <c r="G206" s="34">
        <f ca="1"/>
        <v>4</v>
      </c>
      <c r="H206" s="34">
        <f ca="1"/>
        <v>13</v>
      </c>
      <c r="I206" s="34">
        <f ca="1"/>
        <v>20</v>
      </c>
      <c r="J206" s="34">
        <f ca="1"/>
        <v>22</v>
      </c>
      <c r="K206" s="34">
        <f ca="1"/>
        <v>30</v>
      </c>
      <c r="L206" s="34">
        <f ca="1"/>
        <v>30</v>
      </c>
      <c r="M206" s="34">
        <f ca="1"/>
        <v>37</v>
      </c>
      <c r="N206" s="34">
        <f ca="1"/>
        <v>44</v>
      </c>
      <c r="O206" s="34">
        <f ca="1"/>
        <v>47</v>
      </c>
      <c r="P206" s="34">
        <f ca="1"/>
        <v>47</v>
      </c>
    </row>
    <row r="207" spans="4:16" x14ac:dyDescent="0.2">
      <c r="G207" s="34"/>
      <c r="H207" s="34"/>
      <c r="I207" s="34"/>
      <c r="J207" s="34"/>
      <c r="K207" s="34"/>
      <c r="L207" s="34"/>
      <c r="M207" s="34"/>
      <c r="N207" s="34"/>
      <c r="O207" s="34"/>
      <c r="P207" s="34"/>
    </row>
    <row r="208" spans="4:16" x14ac:dyDescent="0.2">
      <c r="G208" s="34"/>
      <c r="H208" s="34"/>
      <c r="I208" s="34"/>
      <c r="J208" s="34"/>
      <c r="K208" s="34"/>
      <c r="L208" s="34"/>
      <c r="M208" s="34"/>
      <c r="N208" s="34"/>
      <c r="O208" s="34"/>
      <c r="P208" s="34"/>
    </row>
    <row r="209" spans="3:16" ht="16.5" x14ac:dyDescent="0.25">
      <c r="C209" s="3" t="s">
        <v>93</v>
      </c>
      <c r="D209" s="3"/>
      <c r="G209" s="18" t="s">
        <v>120</v>
      </c>
      <c r="H209" s="34"/>
      <c r="I209" s="34"/>
      <c r="J209" s="34"/>
      <c r="K209" s="34"/>
      <c r="L209" s="34"/>
      <c r="M209" s="34"/>
      <c r="N209" s="34"/>
      <c r="O209" s="34"/>
      <c r="P209" s="34"/>
    </row>
    <row r="210" spans="3:16" x14ac:dyDescent="0.2">
      <c r="G210" s="34"/>
      <c r="H210" s="34"/>
      <c r="I210" s="34"/>
      <c r="J210" s="34"/>
      <c r="K210" s="34"/>
      <c r="L210" s="34"/>
      <c r="M210" s="34"/>
      <c r="N210" s="34"/>
      <c r="O210" s="34"/>
      <c r="P210" s="34"/>
    </row>
    <row r="211" spans="3:16" x14ac:dyDescent="0.2">
      <c r="E211" s="52" t="s">
        <v>89</v>
      </c>
      <c r="G211" s="34" cm="1">
        <f t="array" ref="G211:P220">(_xlfn.ANCHORARRAY(G12)&gt;=TRANSPOSE(_xlfn.ANCHORARRAY(G12)))*1</f>
        <v>1</v>
      </c>
      <c r="H211" s="34">
        <v>1</v>
      </c>
      <c r="I211" s="34">
        <v>1</v>
      </c>
      <c r="J211" s="34">
        <v>1</v>
      </c>
      <c r="K211" s="34">
        <v>1</v>
      </c>
      <c r="L211" s="34">
        <v>1</v>
      </c>
      <c r="M211" s="34">
        <v>1</v>
      </c>
      <c r="N211" s="34">
        <v>1</v>
      </c>
      <c r="O211" s="34">
        <v>1</v>
      </c>
      <c r="P211" s="34">
        <v>1</v>
      </c>
    </row>
    <row r="212" spans="3:16" x14ac:dyDescent="0.2">
      <c r="G212" s="34">
        <v>0</v>
      </c>
      <c r="H212" s="34">
        <v>1</v>
      </c>
      <c r="I212" s="34">
        <v>1</v>
      </c>
      <c r="J212" s="34">
        <v>1</v>
      </c>
      <c r="K212" s="34">
        <v>1</v>
      </c>
      <c r="L212" s="34">
        <v>1</v>
      </c>
      <c r="M212" s="34">
        <v>1</v>
      </c>
      <c r="N212" s="34">
        <v>1</v>
      </c>
      <c r="O212" s="34">
        <v>1</v>
      </c>
      <c r="P212" s="34">
        <v>1</v>
      </c>
    </row>
    <row r="213" spans="3:16" x14ac:dyDescent="0.2">
      <c r="G213" s="34">
        <v>0</v>
      </c>
      <c r="H213" s="34">
        <v>0</v>
      </c>
      <c r="I213" s="34">
        <v>1</v>
      </c>
      <c r="J213" s="34">
        <v>1</v>
      </c>
      <c r="K213" s="34">
        <v>1</v>
      </c>
      <c r="L213" s="34">
        <v>1</v>
      </c>
      <c r="M213" s="34">
        <v>1</v>
      </c>
      <c r="N213" s="34">
        <v>1</v>
      </c>
      <c r="O213" s="34">
        <v>1</v>
      </c>
      <c r="P213" s="34">
        <v>1</v>
      </c>
    </row>
    <row r="214" spans="3:16" x14ac:dyDescent="0.2">
      <c r="G214" s="34">
        <v>0</v>
      </c>
      <c r="H214" s="34">
        <v>0</v>
      </c>
      <c r="I214" s="34">
        <v>0</v>
      </c>
      <c r="J214" s="34">
        <v>1</v>
      </c>
      <c r="K214" s="34">
        <v>1</v>
      </c>
      <c r="L214" s="34">
        <v>1</v>
      </c>
      <c r="M214" s="34">
        <v>1</v>
      </c>
      <c r="N214" s="34">
        <v>1</v>
      </c>
      <c r="O214" s="34">
        <v>1</v>
      </c>
      <c r="P214" s="34">
        <v>1</v>
      </c>
    </row>
    <row r="215" spans="3:16" x14ac:dyDescent="0.2">
      <c r="G215" s="34">
        <v>0</v>
      </c>
      <c r="H215" s="34">
        <v>0</v>
      </c>
      <c r="I215" s="34">
        <v>0</v>
      </c>
      <c r="J215" s="34">
        <v>0</v>
      </c>
      <c r="K215" s="34">
        <v>1</v>
      </c>
      <c r="L215" s="34">
        <v>1</v>
      </c>
      <c r="M215" s="34">
        <v>1</v>
      </c>
      <c r="N215" s="34">
        <v>1</v>
      </c>
      <c r="O215" s="34">
        <v>1</v>
      </c>
      <c r="P215" s="34">
        <v>1</v>
      </c>
    </row>
    <row r="216" spans="3:16" x14ac:dyDescent="0.2">
      <c r="G216" s="34">
        <v>0</v>
      </c>
      <c r="H216" s="34">
        <v>0</v>
      </c>
      <c r="I216" s="34">
        <v>0</v>
      </c>
      <c r="J216" s="34">
        <v>0</v>
      </c>
      <c r="K216" s="34">
        <v>0</v>
      </c>
      <c r="L216" s="34">
        <v>1</v>
      </c>
      <c r="M216" s="34">
        <v>1</v>
      </c>
      <c r="N216" s="34">
        <v>1</v>
      </c>
      <c r="O216" s="34">
        <v>1</v>
      </c>
      <c r="P216" s="34">
        <v>1</v>
      </c>
    </row>
    <row r="217" spans="3:16" x14ac:dyDescent="0.2">
      <c r="G217" s="34">
        <v>0</v>
      </c>
      <c r="H217" s="34">
        <v>0</v>
      </c>
      <c r="I217" s="34">
        <v>0</v>
      </c>
      <c r="J217" s="34">
        <v>0</v>
      </c>
      <c r="K217" s="34">
        <v>0</v>
      </c>
      <c r="L217" s="34">
        <v>0</v>
      </c>
      <c r="M217" s="34">
        <v>1</v>
      </c>
      <c r="N217" s="34">
        <v>1</v>
      </c>
      <c r="O217" s="34">
        <v>1</v>
      </c>
      <c r="P217" s="34">
        <v>1</v>
      </c>
    </row>
    <row r="218" spans="3:16" x14ac:dyDescent="0.2">
      <c r="G218" s="34">
        <v>0</v>
      </c>
      <c r="H218" s="34">
        <v>0</v>
      </c>
      <c r="I218" s="34">
        <v>0</v>
      </c>
      <c r="J218" s="34">
        <v>0</v>
      </c>
      <c r="K218" s="34">
        <v>0</v>
      </c>
      <c r="L218" s="34">
        <v>0</v>
      </c>
      <c r="M218" s="34">
        <v>0</v>
      </c>
      <c r="N218" s="34">
        <v>1</v>
      </c>
      <c r="O218" s="34">
        <v>1</v>
      </c>
      <c r="P218" s="34">
        <v>1</v>
      </c>
    </row>
    <row r="219" spans="3:16" x14ac:dyDescent="0.2">
      <c r="G219" s="34">
        <v>0</v>
      </c>
      <c r="H219" s="34">
        <v>0</v>
      </c>
      <c r="I219" s="34">
        <v>0</v>
      </c>
      <c r="J219" s="34">
        <v>0</v>
      </c>
      <c r="K219" s="34">
        <v>0</v>
      </c>
      <c r="L219" s="34">
        <v>0</v>
      </c>
      <c r="M219" s="34">
        <v>0</v>
      </c>
      <c r="N219" s="34">
        <v>0</v>
      </c>
      <c r="O219" s="34">
        <v>1</v>
      </c>
      <c r="P219" s="34">
        <v>1</v>
      </c>
    </row>
    <row r="220" spans="3:16" x14ac:dyDescent="0.2">
      <c r="G220" s="34">
        <v>0</v>
      </c>
      <c r="H220" s="34">
        <v>0</v>
      </c>
      <c r="I220" s="34">
        <v>0</v>
      </c>
      <c r="J220" s="34">
        <v>0</v>
      </c>
      <c r="K220" s="34">
        <v>0</v>
      </c>
      <c r="L220" s="34">
        <v>0</v>
      </c>
      <c r="M220" s="34">
        <v>0</v>
      </c>
      <c r="N220" s="34">
        <v>0</v>
      </c>
      <c r="O220" s="34">
        <v>0</v>
      </c>
      <c r="P220" s="34">
        <v>1</v>
      </c>
    </row>
    <row r="221" spans="3:16" x14ac:dyDescent="0.2">
      <c r="G221" s="34"/>
      <c r="H221" s="34"/>
      <c r="I221" s="34"/>
      <c r="J221" s="34"/>
      <c r="K221" s="34"/>
      <c r="L221" s="34"/>
      <c r="M221" s="34"/>
      <c r="N221" s="34"/>
      <c r="O221" s="34"/>
      <c r="P221" s="34"/>
    </row>
    <row r="222" spans="3:16" x14ac:dyDescent="0.2">
      <c r="E222" t="s">
        <v>94</v>
      </c>
      <c r="H222" s="34"/>
      <c r="I222" s="34"/>
      <c r="J222" s="34"/>
      <c r="K222" s="34"/>
      <c r="L222" s="34"/>
      <c r="M222" s="34"/>
      <c r="N222" s="34"/>
      <c r="O222" s="34"/>
      <c r="P222" s="34"/>
    </row>
    <row r="223" spans="3:16" x14ac:dyDescent="0.2">
      <c r="H223" s="34"/>
      <c r="I223" s="34"/>
      <c r="J223" s="34"/>
      <c r="K223" s="34"/>
      <c r="L223" s="34"/>
      <c r="M223" s="34"/>
      <c r="N223" s="34"/>
      <c r="O223" s="34"/>
      <c r="P223" s="34"/>
    </row>
    <row r="224" spans="3:16" x14ac:dyDescent="0.2">
      <c r="E224" t="str" cm="1">
        <f t="array" ref="E224:E232">_xlfn.ANCHORARRAY(E173)</f>
        <v>B</v>
      </c>
      <c r="G224" s="51" cm="1">
        <f t="array" ref="G224:P232">IF(_xlfn.ANCHORARRAY(G15)=0,0,LN(_xlfn.ANCHORARRAY(G15)))</f>
        <v>0</v>
      </c>
      <c r="H224" s="51">
        <v>2.1972245773362196</v>
      </c>
      <c r="I224" s="51">
        <v>1.0986122886681098</v>
      </c>
      <c r="J224" s="51">
        <v>1.6094379124341003</v>
      </c>
      <c r="K224" s="51">
        <v>1.0986122886681098</v>
      </c>
      <c r="L224" s="51">
        <v>2.1972245773362196</v>
      </c>
      <c r="M224" s="51">
        <v>1.0986122886681098</v>
      </c>
      <c r="N224" s="51">
        <v>1.0986122886681098</v>
      </c>
      <c r="O224" s="51">
        <v>1.0986122886681098</v>
      </c>
      <c r="P224" s="51">
        <v>2.1972245773362196</v>
      </c>
    </row>
    <row r="225" spans="5:16" x14ac:dyDescent="0.2">
      <c r="E225" t="str">
        <v>B</v>
      </c>
      <c r="G225" s="51">
        <v>2.1972245773362196</v>
      </c>
      <c r="H225" s="51">
        <v>1.791759469228055</v>
      </c>
      <c r="I225" s="51">
        <v>2.0794415416798357</v>
      </c>
      <c r="J225" s="51">
        <v>1.0986122886681098</v>
      </c>
      <c r="K225" s="51">
        <v>2.3025850929940459</v>
      </c>
      <c r="L225" s="51">
        <v>1.6094379124341003</v>
      </c>
      <c r="M225" s="51">
        <v>2.3025850929940459</v>
      </c>
      <c r="N225" s="51">
        <v>2.1972245773362196</v>
      </c>
      <c r="O225" s="51">
        <v>2.0794415416798357</v>
      </c>
      <c r="P225" s="51">
        <v>1.0986122886681098</v>
      </c>
    </row>
    <row r="226" spans="5:16" x14ac:dyDescent="0.2">
      <c r="E226" t="str">
        <v>A</v>
      </c>
      <c r="G226" s="51">
        <v>1.3862943611198906</v>
      </c>
      <c r="H226" s="51">
        <v>0.69314718055994529</v>
      </c>
      <c r="I226" s="51">
        <v>0.69314718055994529</v>
      </c>
      <c r="J226" s="51">
        <v>0.69314718055994529</v>
      </c>
      <c r="K226" s="51">
        <v>0</v>
      </c>
      <c r="L226" s="51">
        <v>0</v>
      </c>
      <c r="M226" s="51">
        <v>0</v>
      </c>
      <c r="N226" s="51">
        <v>2.0794415416798357</v>
      </c>
      <c r="O226" s="51">
        <v>1.3862943611198906</v>
      </c>
      <c r="P226" s="51">
        <v>2.0794415416798357</v>
      </c>
    </row>
    <row r="227" spans="5:16" x14ac:dyDescent="0.2">
      <c r="E227" t="str">
        <v>A</v>
      </c>
      <c r="G227" s="51">
        <v>1.3862943611198906</v>
      </c>
      <c r="H227" s="51">
        <v>0.69314718055994529</v>
      </c>
      <c r="I227" s="51">
        <v>1.791759469228055</v>
      </c>
      <c r="J227" s="51">
        <v>1.3862943611198906</v>
      </c>
      <c r="K227" s="51">
        <v>1.3862943611198906</v>
      </c>
      <c r="L227" s="51">
        <v>1.9459101490553132</v>
      </c>
      <c r="M227" s="51">
        <v>2.0794415416798357</v>
      </c>
      <c r="N227" s="51">
        <v>1.0986122886681098</v>
      </c>
      <c r="O227" s="51">
        <v>1.3862943611198906</v>
      </c>
      <c r="P227" s="51">
        <v>2.0794415416798357</v>
      </c>
    </row>
    <row r="228" spans="5:16" x14ac:dyDescent="0.2">
      <c r="E228" t="str">
        <v>C</v>
      </c>
      <c r="G228" s="51">
        <v>2.3025850929940459</v>
      </c>
      <c r="H228" s="51">
        <v>0</v>
      </c>
      <c r="I228" s="51">
        <v>0</v>
      </c>
      <c r="J228" s="51">
        <v>1.9459101490553132</v>
      </c>
      <c r="K228" s="51">
        <v>1.0986122886681098</v>
      </c>
      <c r="L228" s="51">
        <v>1.0986122886681098</v>
      </c>
      <c r="M228" s="51">
        <v>2.1972245773362196</v>
      </c>
      <c r="N228" s="51">
        <v>2.0794415416798357</v>
      </c>
      <c r="O228" s="51">
        <v>2.1972245773362196</v>
      </c>
      <c r="P228" s="51">
        <v>1.9459101490553132</v>
      </c>
    </row>
    <row r="229" spans="5:16" x14ac:dyDescent="0.2">
      <c r="E229" t="str">
        <v>A</v>
      </c>
      <c r="G229" s="51">
        <v>2.3025850929940459</v>
      </c>
      <c r="H229" s="51">
        <v>2.1972245773362196</v>
      </c>
      <c r="I229" s="51">
        <v>1.0986122886681098</v>
      </c>
      <c r="J229" s="51">
        <v>1.0986122886681098</v>
      </c>
      <c r="K229" s="51">
        <v>1.0986122886681098</v>
      </c>
      <c r="L229" s="51">
        <v>2.0794415416798357</v>
      </c>
      <c r="M229" s="51">
        <v>0</v>
      </c>
      <c r="N229" s="51">
        <v>2.1972245773362196</v>
      </c>
      <c r="O229" s="51">
        <v>0</v>
      </c>
      <c r="P229" s="51">
        <v>1.9459101490553132</v>
      </c>
    </row>
    <row r="230" spans="5:16" x14ac:dyDescent="0.2">
      <c r="E230" t="str">
        <v>B</v>
      </c>
      <c r="G230" s="51">
        <v>1.3862943611198906</v>
      </c>
      <c r="H230" s="51">
        <v>2.1972245773362196</v>
      </c>
      <c r="I230" s="51">
        <v>1.0986122886681098</v>
      </c>
      <c r="J230" s="51">
        <v>0.69314718055994529</v>
      </c>
      <c r="K230" s="51">
        <v>1.9459101490553132</v>
      </c>
      <c r="L230" s="51">
        <v>0</v>
      </c>
      <c r="M230" s="51">
        <v>0</v>
      </c>
      <c r="N230" s="51">
        <v>1.9459101490553132</v>
      </c>
      <c r="O230" s="51">
        <v>2.1972245773362196</v>
      </c>
      <c r="P230" s="51">
        <v>0</v>
      </c>
    </row>
    <row r="231" spans="5:16" x14ac:dyDescent="0.2">
      <c r="E231" t="str">
        <v>B</v>
      </c>
      <c r="G231" s="51">
        <v>2.1972245773362196</v>
      </c>
      <c r="H231" s="51">
        <v>2.1972245773362196</v>
      </c>
      <c r="I231" s="51">
        <v>1.791759469228055</v>
      </c>
      <c r="J231" s="51">
        <v>2.1972245773362196</v>
      </c>
      <c r="K231" s="51">
        <v>2.0794415416798357</v>
      </c>
      <c r="L231" s="51">
        <v>2.1972245773362196</v>
      </c>
      <c r="M231" s="51">
        <v>2.3025850929940459</v>
      </c>
      <c r="N231" s="51">
        <v>1.9459101490553132</v>
      </c>
      <c r="O231" s="51">
        <v>1.6094379124341003</v>
      </c>
      <c r="P231" s="51">
        <v>0.69314718055994529</v>
      </c>
    </row>
    <row r="232" spans="5:16" x14ac:dyDescent="0.2">
      <c r="E232" t="str">
        <v>B</v>
      </c>
      <c r="G232" s="51">
        <v>1.3862943611198906</v>
      </c>
      <c r="H232" s="51">
        <v>2.1972245773362196</v>
      </c>
      <c r="I232" s="51">
        <v>1.9459101490553132</v>
      </c>
      <c r="J232" s="51">
        <v>0.69314718055994529</v>
      </c>
      <c r="K232" s="51">
        <v>2.0794415416798357</v>
      </c>
      <c r="L232" s="51">
        <v>0</v>
      </c>
      <c r="M232" s="51">
        <v>1.9459101490553132</v>
      </c>
      <c r="N232" s="51">
        <v>1.9459101490553132</v>
      </c>
      <c r="O232" s="51">
        <v>1.0986122886681098</v>
      </c>
      <c r="P232" s="51">
        <v>0</v>
      </c>
    </row>
    <row r="234" spans="5:16" x14ac:dyDescent="0.2">
      <c r="E234" t="s">
        <v>95</v>
      </c>
      <c r="H234" s="51"/>
      <c r="I234" s="51"/>
      <c r="J234" s="51"/>
      <c r="K234" s="51"/>
      <c r="L234" s="51"/>
      <c r="M234" s="51"/>
      <c r="N234" s="51"/>
      <c r="O234" s="51"/>
      <c r="P234" s="51"/>
    </row>
    <row r="235" spans="5:16" x14ac:dyDescent="0.2">
      <c r="G235" s="51"/>
      <c r="H235" s="51"/>
      <c r="I235" s="51"/>
      <c r="J235" s="51"/>
      <c r="K235" s="51"/>
      <c r="L235" s="51"/>
      <c r="M235" s="51"/>
      <c r="N235" s="51"/>
      <c r="O235" s="51"/>
      <c r="P235" s="51"/>
    </row>
    <row r="236" spans="5:16" x14ac:dyDescent="0.2">
      <c r="E236" t="str" cm="1">
        <f t="array" ref="E236:E244">_xlfn.ANCHORARRAY(E173)</f>
        <v>B</v>
      </c>
      <c r="G236" s="51" cm="1">
        <f t="array" ref="G236:P244">MMULT(_xlfn.ANCHORARRAY(G224),_xlfn.ANCHORARRAY(G211))</f>
        <v>0</v>
      </c>
      <c r="H236" s="51">
        <v>2.1972245773362196</v>
      </c>
      <c r="I236" s="51">
        <v>3.2958368660043291</v>
      </c>
      <c r="J236" s="51">
        <v>4.9052747784384296</v>
      </c>
      <c r="K236" s="51">
        <v>6.0038870671065396</v>
      </c>
      <c r="L236" s="51">
        <v>8.2011116444427596</v>
      </c>
      <c r="M236" s="51">
        <v>9.2997239331108688</v>
      </c>
      <c r="N236" s="51">
        <v>10.398336221778978</v>
      </c>
      <c r="O236" s="51">
        <v>11.496948510447087</v>
      </c>
      <c r="P236" s="51">
        <v>13.694173087783307</v>
      </c>
    </row>
    <row r="237" spans="5:16" x14ac:dyDescent="0.2">
      <c r="E237" t="str">
        <v>B</v>
      </c>
      <c r="G237" s="51">
        <v>2.1972245773362196</v>
      </c>
      <c r="H237" s="51">
        <v>3.9889840465642745</v>
      </c>
      <c r="I237" s="51">
        <v>6.0684255882441107</v>
      </c>
      <c r="J237" s="51">
        <v>7.1670378769122207</v>
      </c>
      <c r="K237" s="51">
        <v>9.4696229699062666</v>
      </c>
      <c r="L237" s="51">
        <v>11.079060882340366</v>
      </c>
      <c r="M237" s="51">
        <v>13.381645975334411</v>
      </c>
      <c r="N237" s="51">
        <v>15.578870552670631</v>
      </c>
      <c r="O237" s="51">
        <v>17.658312094350467</v>
      </c>
      <c r="P237" s="51">
        <v>18.756924383018578</v>
      </c>
    </row>
    <row r="238" spans="5:16" x14ac:dyDescent="0.2">
      <c r="E238" t="str">
        <v>A</v>
      </c>
      <c r="G238" s="51">
        <v>1.3862943611198906</v>
      </c>
      <c r="H238" s="51">
        <v>2.0794415416798357</v>
      </c>
      <c r="I238" s="51">
        <v>2.7725887222397811</v>
      </c>
      <c r="J238" s="51">
        <v>3.4657359027997265</v>
      </c>
      <c r="K238" s="51">
        <v>3.4657359027997265</v>
      </c>
      <c r="L238" s="51">
        <v>3.4657359027997265</v>
      </c>
      <c r="M238" s="51">
        <v>3.4657359027997265</v>
      </c>
      <c r="N238" s="51">
        <v>5.5451774444795623</v>
      </c>
      <c r="O238" s="51">
        <v>6.9314718055994531</v>
      </c>
      <c r="P238" s="51">
        <v>9.0109133472792884</v>
      </c>
    </row>
    <row r="239" spans="5:16" x14ac:dyDescent="0.2">
      <c r="E239" t="str">
        <v>A</v>
      </c>
      <c r="G239" s="51">
        <v>1.3862943611198906</v>
      </c>
      <c r="H239" s="51">
        <v>2.0794415416798357</v>
      </c>
      <c r="I239" s="51">
        <v>3.8712010109078907</v>
      </c>
      <c r="J239" s="51">
        <v>5.2574953720277815</v>
      </c>
      <c r="K239" s="51">
        <v>6.6437897331476723</v>
      </c>
      <c r="L239" s="51">
        <v>8.5896998822029857</v>
      </c>
      <c r="M239" s="51">
        <v>10.669141423882822</v>
      </c>
      <c r="N239" s="51">
        <v>11.767753712550931</v>
      </c>
      <c r="O239" s="51">
        <v>13.154048073670822</v>
      </c>
      <c r="P239" s="51">
        <v>15.233489615350658</v>
      </c>
    </row>
    <row r="240" spans="5:16" x14ac:dyDescent="0.2">
      <c r="E240" t="str">
        <v>C</v>
      </c>
      <c r="G240" s="51">
        <v>2.3025850929940459</v>
      </c>
      <c r="H240" s="51">
        <v>2.3025850929940459</v>
      </c>
      <c r="I240" s="51">
        <v>2.3025850929940459</v>
      </c>
      <c r="J240" s="51">
        <v>4.2484952420493594</v>
      </c>
      <c r="K240" s="51">
        <v>5.3471075307174694</v>
      </c>
      <c r="L240" s="51">
        <v>6.4457198193855794</v>
      </c>
      <c r="M240" s="51">
        <v>8.6429443967217985</v>
      </c>
      <c r="N240" s="51">
        <v>10.722385938401635</v>
      </c>
      <c r="O240" s="51">
        <v>12.919610515737855</v>
      </c>
      <c r="P240" s="51">
        <v>14.865520664793168</v>
      </c>
    </row>
    <row r="241" spans="5:16" x14ac:dyDescent="0.2">
      <c r="E241" t="str">
        <v>A</v>
      </c>
      <c r="G241" s="51">
        <v>2.3025850929940459</v>
      </c>
      <c r="H241" s="51">
        <v>4.499809670330265</v>
      </c>
      <c r="I241" s="51">
        <v>5.598421958998375</v>
      </c>
      <c r="J241" s="51">
        <v>6.697034247666485</v>
      </c>
      <c r="K241" s="51">
        <v>7.795646536334595</v>
      </c>
      <c r="L241" s="51">
        <v>9.8750880780144303</v>
      </c>
      <c r="M241" s="51">
        <v>9.8750880780144303</v>
      </c>
      <c r="N241" s="51">
        <v>12.07231265535065</v>
      </c>
      <c r="O241" s="51">
        <v>12.07231265535065</v>
      </c>
      <c r="P241" s="51">
        <v>14.018222804405964</v>
      </c>
    </row>
    <row r="242" spans="5:16" x14ac:dyDescent="0.2">
      <c r="E242" t="str">
        <v>B</v>
      </c>
      <c r="G242" s="51">
        <v>1.3862943611198906</v>
      </c>
      <c r="H242" s="51">
        <v>3.5835189384561099</v>
      </c>
      <c r="I242" s="51">
        <v>4.6821312271242199</v>
      </c>
      <c r="J242" s="51">
        <v>5.3752784076841653</v>
      </c>
      <c r="K242" s="51">
        <v>7.3211885567394788</v>
      </c>
      <c r="L242" s="51">
        <v>7.3211885567394788</v>
      </c>
      <c r="M242" s="51">
        <v>7.3211885567394788</v>
      </c>
      <c r="N242" s="51">
        <v>9.2670987057947922</v>
      </c>
      <c r="O242" s="51">
        <v>11.464323283131012</v>
      </c>
      <c r="P242" s="51">
        <v>11.464323283131012</v>
      </c>
    </row>
    <row r="243" spans="5:16" x14ac:dyDescent="0.2">
      <c r="E243" t="str">
        <v>B</v>
      </c>
      <c r="G243" s="51">
        <v>2.1972245773362196</v>
      </c>
      <c r="H243" s="51">
        <v>4.3944491546724391</v>
      </c>
      <c r="I243" s="51">
        <v>6.1862086239004945</v>
      </c>
      <c r="J243" s="51">
        <v>8.3834332012367145</v>
      </c>
      <c r="K243" s="51">
        <v>10.462874742916551</v>
      </c>
      <c r="L243" s="51">
        <v>12.660099320252771</v>
      </c>
      <c r="M243" s="51">
        <v>14.962684413246816</v>
      </c>
      <c r="N243" s="51">
        <v>16.908594562302127</v>
      </c>
      <c r="O243" s="51">
        <v>18.518032474736227</v>
      </c>
      <c r="P243" s="51">
        <v>19.211179655296171</v>
      </c>
    </row>
    <row r="244" spans="5:16" x14ac:dyDescent="0.2">
      <c r="E244" t="str">
        <v>B</v>
      </c>
      <c r="G244" s="51">
        <v>1.3862943611198906</v>
      </c>
      <c r="H244" s="51">
        <v>3.5835189384561099</v>
      </c>
      <c r="I244" s="51">
        <v>5.5294290875114234</v>
      </c>
      <c r="J244" s="51">
        <v>6.2225762680713688</v>
      </c>
      <c r="K244" s="51">
        <v>8.3020178097512041</v>
      </c>
      <c r="L244" s="51">
        <v>8.3020178097512041</v>
      </c>
      <c r="M244" s="51">
        <v>10.247927958806518</v>
      </c>
      <c r="N244" s="51">
        <v>12.193838107861831</v>
      </c>
      <c r="O244" s="51">
        <v>13.29245039652994</v>
      </c>
      <c r="P244" s="51">
        <v>13.29245039652994</v>
      </c>
    </row>
    <row r="246" spans="5:16" x14ac:dyDescent="0.2">
      <c r="E246" t="s">
        <v>96</v>
      </c>
      <c r="H246" s="34"/>
      <c r="I246" s="34"/>
      <c r="J246" s="34"/>
      <c r="K246" s="34"/>
      <c r="L246" s="34"/>
      <c r="M246" s="34"/>
      <c r="N246" s="34"/>
      <c r="O246" s="34"/>
      <c r="P246" s="34"/>
    </row>
    <row r="247" spans="5:16" x14ac:dyDescent="0.2">
      <c r="G247" s="34"/>
      <c r="H247" s="34"/>
      <c r="I247" s="34"/>
      <c r="J247" s="34"/>
      <c r="K247" s="34"/>
      <c r="L247" s="34"/>
      <c r="M247" s="34"/>
      <c r="N247" s="34"/>
      <c r="O247" s="34"/>
      <c r="P247" s="34"/>
    </row>
    <row r="248" spans="5:16" x14ac:dyDescent="0.2">
      <c r="E248" t="str" cm="1">
        <f t="array" ref="E248:E256">_xlfn.ANCHORARRAY(E173)</f>
        <v>B</v>
      </c>
      <c r="G248" s="34" cm="1">
        <f t="array" ref="G248:P256">EXP(_xlfn.ANCHORARRAY(G236))</f>
        <v>1</v>
      </c>
      <c r="H248" s="34">
        <v>9.0000000000000018</v>
      </c>
      <c r="I248" s="34">
        <v>27</v>
      </c>
      <c r="J248" s="34">
        <v>135.00000000000003</v>
      </c>
      <c r="K248" s="34">
        <v>405.00000000000023</v>
      </c>
      <c r="L248" s="34">
        <v>3645.0000000000041</v>
      </c>
      <c r="M248" s="34">
        <v>10935.000000000005</v>
      </c>
      <c r="N248" s="34">
        <v>32805</v>
      </c>
      <c r="O248" s="34">
        <v>98414.999999999942</v>
      </c>
      <c r="P248" s="34">
        <v>885735</v>
      </c>
    </row>
    <row r="249" spans="5:16" x14ac:dyDescent="0.2">
      <c r="E249" t="str">
        <v>B</v>
      </c>
      <c r="G249" s="34">
        <v>9.0000000000000018</v>
      </c>
      <c r="H249" s="34">
        <v>54.000000000000007</v>
      </c>
      <c r="I249" s="34">
        <v>432.00000000000017</v>
      </c>
      <c r="J249" s="34">
        <v>1296.0000000000009</v>
      </c>
      <c r="K249" s="34">
        <v>12960.000000000013</v>
      </c>
      <c r="L249" s="34">
        <v>64800.000000000015</v>
      </c>
      <c r="M249" s="34">
        <v>647999.99999999965</v>
      </c>
      <c r="N249" s="34">
        <v>5832000.0000000009</v>
      </c>
      <c r="O249" s="34">
        <v>46656000.000000015</v>
      </c>
      <c r="P249" s="34">
        <v>139968000.00000021</v>
      </c>
    </row>
    <row r="250" spans="5:16" x14ac:dyDescent="0.2">
      <c r="E250" t="str">
        <v>A</v>
      </c>
      <c r="G250" s="34">
        <v>4</v>
      </c>
      <c r="H250" s="34">
        <v>7.9999999999999982</v>
      </c>
      <c r="I250" s="34">
        <v>15.999999999999998</v>
      </c>
      <c r="J250" s="34">
        <v>32</v>
      </c>
      <c r="K250" s="34">
        <v>32</v>
      </c>
      <c r="L250" s="34">
        <v>32</v>
      </c>
      <c r="M250" s="34">
        <v>32</v>
      </c>
      <c r="N250" s="34">
        <v>255.99999999999994</v>
      </c>
      <c r="O250" s="34">
        <v>1024</v>
      </c>
      <c r="P250" s="34">
        <v>8191.9999999999945</v>
      </c>
    </row>
    <row r="251" spans="5:16" x14ac:dyDescent="0.2">
      <c r="E251" t="str">
        <v>A</v>
      </c>
      <c r="G251" s="34">
        <v>4</v>
      </c>
      <c r="H251" s="34">
        <v>7.9999999999999982</v>
      </c>
      <c r="I251" s="34">
        <v>47.999999999999986</v>
      </c>
      <c r="J251" s="34">
        <v>192</v>
      </c>
      <c r="K251" s="34">
        <v>768.00000000000011</v>
      </c>
      <c r="L251" s="34">
        <v>5376.0000000000018</v>
      </c>
      <c r="M251" s="34">
        <v>43008.000000000022</v>
      </c>
      <c r="N251" s="34">
        <v>129024</v>
      </c>
      <c r="O251" s="34">
        <v>516096.00000000006</v>
      </c>
      <c r="P251" s="34">
        <v>4128768.0000000019</v>
      </c>
    </row>
    <row r="252" spans="5:16" x14ac:dyDescent="0.2">
      <c r="E252" t="str">
        <v>C</v>
      </c>
      <c r="G252" s="34">
        <v>10.000000000000002</v>
      </c>
      <c r="H252" s="34">
        <v>10.000000000000002</v>
      </c>
      <c r="I252" s="34">
        <v>10.000000000000002</v>
      </c>
      <c r="J252" s="34">
        <v>70.000000000000028</v>
      </c>
      <c r="K252" s="34">
        <v>210.00000000000014</v>
      </c>
      <c r="L252" s="34">
        <v>630.00000000000057</v>
      </c>
      <c r="M252" s="34">
        <v>5670.0000000000045</v>
      </c>
      <c r="N252" s="34">
        <v>45360.000000000044</v>
      </c>
      <c r="O252" s="34">
        <v>408240.00000000064</v>
      </c>
      <c r="P252" s="34">
        <v>2857680.0000000051</v>
      </c>
    </row>
    <row r="253" spans="5:16" x14ac:dyDescent="0.2">
      <c r="E253" t="str">
        <v>A</v>
      </c>
      <c r="G253" s="34">
        <v>10.000000000000002</v>
      </c>
      <c r="H253" s="34">
        <v>90</v>
      </c>
      <c r="I253" s="34">
        <v>270.00000000000006</v>
      </c>
      <c r="J253" s="34">
        <v>810.00000000000045</v>
      </c>
      <c r="K253" s="34">
        <v>2430.0000000000023</v>
      </c>
      <c r="L253" s="34">
        <v>19440.000000000004</v>
      </c>
      <c r="M253" s="34">
        <v>19440.000000000004</v>
      </c>
      <c r="N253" s="34">
        <v>174960.00000000015</v>
      </c>
      <c r="O253" s="34">
        <v>174960.00000000015</v>
      </c>
      <c r="P253" s="34">
        <v>1224720.0000000012</v>
      </c>
    </row>
    <row r="254" spans="5:16" x14ac:dyDescent="0.2">
      <c r="E254" t="str">
        <v>B</v>
      </c>
      <c r="G254" s="34">
        <v>4</v>
      </c>
      <c r="H254" s="34">
        <v>36</v>
      </c>
      <c r="I254" s="34">
        <v>108.00000000000003</v>
      </c>
      <c r="J254" s="34">
        <v>216.00000000000006</v>
      </c>
      <c r="K254" s="34">
        <v>1512.0000000000007</v>
      </c>
      <c r="L254" s="34">
        <v>1512.0000000000007</v>
      </c>
      <c r="M254" s="34">
        <v>1512.0000000000007</v>
      </c>
      <c r="N254" s="34">
        <v>10584.000000000007</v>
      </c>
      <c r="O254" s="34">
        <v>95256.000000000116</v>
      </c>
      <c r="P254" s="34">
        <v>95256.000000000116</v>
      </c>
    </row>
    <row r="255" spans="5:16" x14ac:dyDescent="0.2">
      <c r="E255" t="str">
        <v>B</v>
      </c>
      <c r="G255">
        <v>9.0000000000000018</v>
      </c>
      <c r="H255">
        <v>81.000000000000028</v>
      </c>
      <c r="I255">
        <v>486.0000000000004</v>
      </c>
      <c r="J255">
        <v>4374.0000000000064</v>
      </c>
      <c r="K255">
        <v>34992.000000000058</v>
      </c>
      <c r="L255">
        <v>314928.0000000007</v>
      </c>
      <c r="M255">
        <v>3149280.0000000051</v>
      </c>
      <c r="N255">
        <v>22044960</v>
      </c>
      <c r="O255">
        <v>110224799.99999991</v>
      </c>
      <c r="P255">
        <v>220449599.99999946</v>
      </c>
    </row>
    <row r="256" spans="5:16" x14ac:dyDescent="0.2">
      <c r="E256" t="str">
        <v>B</v>
      </c>
      <c r="G256">
        <v>4</v>
      </c>
      <c r="H256">
        <v>36</v>
      </c>
      <c r="I256">
        <v>252.00000000000003</v>
      </c>
      <c r="J256">
        <v>504.00000000000006</v>
      </c>
      <c r="K256">
        <v>4031.9999999999982</v>
      </c>
      <c r="L256">
        <v>4031.9999999999982</v>
      </c>
      <c r="M256">
        <v>28223.999999999989</v>
      </c>
      <c r="N256">
        <v>197567.99999999997</v>
      </c>
      <c r="O256">
        <v>592703.99999999953</v>
      </c>
      <c r="P256">
        <v>592703.99999999953</v>
      </c>
    </row>
    <row r="259" spans="3:16" ht="16.5" x14ac:dyDescent="0.25">
      <c r="C259" s="3" t="s">
        <v>111</v>
      </c>
    </row>
    <row r="261" spans="3:16" x14ac:dyDescent="0.2">
      <c r="E261" s="52" t="s">
        <v>98</v>
      </c>
    </row>
    <row r="263" spans="3:16" x14ac:dyDescent="0.2">
      <c r="E263" t="str" cm="1">
        <f t="array" ref="E263:E271">_xlfn.ANCHORARRAY(E15)</f>
        <v>B</v>
      </c>
      <c r="G263" s="34" cm="1">
        <f t="array" ref="G263:P271">ROUNDUP(_xlfn.SEQUENCE(ROWS(_xlfn.ANCHORARRAY(G15)),COLUMNS(_xlfn.ANCHORARRAY(G15)))/COLUMNS(_xlfn.ANCHORARRAY(G15)),0)</f>
        <v>1</v>
      </c>
      <c r="H263" s="34">
        <v>1</v>
      </c>
      <c r="I263" s="34">
        <v>1</v>
      </c>
      <c r="J263" s="34">
        <v>1</v>
      </c>
      <c r="K263" s="34">
        <v>1</v>
      </c>
      <c r="L263" s="34">
        <v>1</v>
      </c>
      <c r="M263" s="34">
        <v>1</v>
      </c>
      <c r="N263" s="34">
        <v>1</v>
      </c>
      <c r="O263" s="34">
        <v>1</v>
      </c>
      <c r="P263" s="34">
        <v>1</v>
      </c>
    </row>
    <row r="264" spans="3:16" x14ac:dyDescent="0.2">
      <c r="E264" t="str">
        <v>B</v>
      </c>
      <c r="G264" s="34">
        <v>2</v>
      </c>
      <c r="H264" s="34">
        <v>2</v>
      </c>
      <c r="I264" s="34">
        <v>2</v>
      </c>
      <c r="J264" s="34">
        <v>2</v>
      </c>
      <c r="K264" s="34">
        <v>2</v>
      </c>
      <c r="L264" s="34">
        <v>2</v>
      </c>
      <c r="M264" s="34">
        <v>2</v>
      </c>
      <c r="N264" s="34">
        <v>2</v>
      </c>
      <c r="O264" s="34">
        <v>2</v>
      </c>
      <c r="P264" s="34">
        <v>2</v>
      </c>
    </row>
    <row r="265" spans="3:16" x14ac:dyDescent="0.2">
      <c r="E265" t="str">
        <v>A</v>
      </c>
      <c r="G265" s="34">
        <v>3</v>
      </c>
      <c r="H265" s="34">
        <v>3</v>
      </c>
      <c r="I265" s="34">
        <v>3</v>
      </c>
      <c r="J265" s="34">
        <v>3</v>
      </c>
      <c r="K265" s="34">
        <v>3</v>
      </c>
      <c r="L265" s="34">
        <v>3</v>
      </c>
      <c r="M265" s="34">
        <v>3</v>
      </c>
      <c r="N265" s="34">
        <v>3</v>
      </c>
      <c r="O265" s="34">
        <v>3</v>
      </c>
      <c r="P265" s="34">
        <v>3</v>
      </c>
    </row>
    <row r="266" spans="3:16" x14ac:dyDescent="0.2">
      <c r="E266" t="str">
        <v>A</v>
      </c>
      <c r="G266" s="34">
        <v>4</v>
      </c>
      <c r="H266" s="34">
        <v>4</v>
      </c>
      <c r="I266" s="34">
        <v>4</v>
      </c>
      <c r="J266" s="34">
        <v>4</v>
      </c>
      <c r="K266" s="34">
        <v>4</v>
      </c>
      <c r="L266" s="34">
        <v>4</v>
      </c>
      <c r="M266" s="34">
        <v>4</v>
      </c>
      <c r="N266" s="34">
        <v>4</v>
      </c>
      <c r="O266" s="34">
        <v>4</v>
      </c>
      <c r="P266" s="34">
        <v>4</v>
      </c>
    </row>
    <row r="267" spans="3:16" x14ac:dyDescent="0.2">
      <c r="E267" t="str">
        <v>C</v>
      </c>
      <c r="G267" s="34">
        <v>5</v>
      </c>
      <c r="H267" s="34">
        <v>5</v>
      </c>
      <c r="I267" s="34">
        <v>5</v>
      </c>
      <c r="J267" s="34">
        <v>5</v>
      </c>
      <c r="K267" s="34">
        <v>5</v>
      </c>
      <c r="L267" s="34">
        <v>5</v>
      </c>
      <c r="M267" s="34">
        <v>5</v>
      </c>
      <c r="N267" s="34">
        <v>5</v>
      </c>
      <c r="O267" s="34">
        <v>5</v>
      </c>
      <c r="P267" s="34">
        <v>5</v>
      </c>
    </row>
    <row r="268" spans="3:16" x14ac:dyDescent="0.2">
      <c r="E268" t="str">
        <v>A</v>
      </c>
      <c r="G268" s="34">
        <v>6</v>
      </c>
      <c r="H268" s="34">
        <v>6</v>
      </c>
      <c r="I268" s="34">
        <v>6</v>
      </c>
      <c r="J268" s="34">
        <v>6</v>
      </c>
      <c r="K268" s="34">
        <v>6</v>
      </c>
      <c r="L268" s="34">
        <v>6</v>
      </c>
      <c r="M268" s="34">
        <v>6</v>
      </c>
      <c r="N268" s="34">
        <v>6</v>
      </c>
      <c r="O268" s="34">
        <v>6</v>
      </c>
      <c r="P268" s="34">
        <v>6</v>
      </c>
    </row>
    <row r="269" spans="3:16" x14ac:dyDescent="0.2">
      <c r="E269" t="str">
        <v>B</v>
      </c>
      <c r="G269" s="34">
        <v>7</v>
      </c>
      <c r="H269" s="34">
        <v>7</v>
      </c>
      <c r="I269" s="34">
        <v>7</v>
      </c>
      <c r="J269" s="34">
        <v>7</v>
      </c>
      <c r="K269" s="34">
        <v>7</v>
      </c>
      <c r="L269" s="34">
        <v>7</v>
      </c>
      <c r="M269" s="34">
        <v>7</v>
      </c>
      <c r="N269" s="34">
        <v>7</v>
      </c>
      <c r="O269" s="34">
        <v>7</v>
      </c>
      <c r="P269" s="34">
        <v>7</v>
      </c>
    </row>
    <row r="270" spans="3:16" x14ac:dyDescent="0.2">
      <c r="E270" t="str">
        <v>B</v>
      </c>
      <c r="G270" s="34">
        <v>8</v>
      </c>
      <c r="H270" s="34">
        <v>8</v>
      </c>
      <c r="I270" s="34">
        <v>8</v>
      </c>
      <c r="J270" s="34">
        <v>8</v>
      </c>
      <c r="K270" s="34">
        <v>8</v>
      </c>
      <c r="L270" s="34">
        <v>8</v>
      </c>
      <c r="M270" s="34">
        <v>8</v>
      </c>
      <c r="N270" s="34">
        <v>8</v>
      </c>
      <c r="O270" s="34">
        <v>8</v>
      </c>
      <c r="P270" s="34">
        <v>8</v>
      </c>
    </row>
    <row r="271" spans="3:16" x14ac:dyDescent="0.2">
      <c r="E271" t="str">
        <v>B</v>
      </c>
      <c r="G271" s="34">
        <v>9</v>
      </c>
      <c r="H271" s="34">
        <v>9</v>
      </c>
      <c r="I271" s="34">
        <v>9</v>
      </c>
      <c r="J271" s="34">
        <v>9</v>
      </c>
      <c r="K271" s="34">
        <v>9</v>
      </c>
      <c r="L271" s="34">
        <v>9</v>
      </c>
      <c r="M271" s="34">
        <v>9</v>
      </c>
      <c r="N271" s="34">
        <v>9</v>
      </c>
      <c r="O271" s="34">
        <v>9</v>
      </c>
      <c r="P271" s="34">
        <v>9</v>
      </c>
    </row>
    <row r="274" spans="4:16" x14ac:dyDescent="0.2">
      <c r="E274" s="52" t="s">
        <v>99</v>
      </c>
    </row>
    <row r="276" spans="4:16" x14ac:dyDescent="0.2">
      <c r="E276" t="str" cm="1">
        <f t="array" ref="E276:E284">_xlfn.ANCHORARRAY(E15)</f>
        <v>B</v>
      </c>
      <c r="G276" s="34" cm="1">
        <f t="array" ref="G276:P284">MOD(_xlfn.SEQUENCE(ROWS(_xlfn.ANCHORARRAY(G15)),COLUMNS(_xlfn.ANCHORARRAY(G15)))-1,COLUMNS(_xlfn.ANCHORARRAY(G15)))+1</f>
        <v>1</v>
      </c>
      <c r="H276" s="34">
        <v>2</v>
      </c>
      <c r="I276" s="34">
        <v>3</v>
      </c>
      <c r="J276" s="34">
        <v>4</v>
      </c>
      <c r="K276" s="34">
        <v>5</v>
      </c>
      <c r="L276" s="34">
        <v>6</v>
      </c>
      <c r="M276" s="34">
        <v>7</v>
      </c>
      <c r="N276" s="34">
        <v>8</v>
      </c>
      <c r="O276" s="34">
        <v>9</v>
      </c>
      <c r="P276" s="34">
        <v>10</v>
      </c>
    </row>
    <row r="277" spans="4:16" x14ac:dyDescent="0.2">
      <c r="E277" t="str">
        <v>B</v>
      </c>
      <c r="G277" s="34">
        <v>1</v>
      </c>
      <c r="H277" s="34">
        <v>2</v>
      </c>
      <c r="I277" s="34">
        <v>3</v>
      </c>
      <c r="J277" s="34">
        <v>4</v>
      </c>
      <c r="K277" s="34">
        <v>5</v>
      </c>
      <c r="L277" s="34">
        <v>6</v>
      </c>
      <c r="M277" s="34">
        <v>7</v>
      </c>
      <c r="N277" s="34">
        <v>8</v>
      </c>
      <c r="O277" s="34">
        <v>9</v>
      </c>
      <c r="P277" s="34">
        <v>10</v>
      </c>
    </row>
    <row r="278" spans="4:16" x14ac:dyDescent="0.2">
      <c r="E278" t="str">
        <v>A</v>
      </c>
      <c r="G278" s="34">
        <v>1</v>
      </c>
      <c r="H278" s="34">
        <v>2</v>
      </c>
      <c r="I278" s="34">
        <v>3</v>
      </c>
      <c r="J278" s="34">
        <v>4</v>
      </c>
      <c r="K278" s="34">
        <v>5</v>
      </c>
      <c r="L278" s="34">
        <v>6</v>
      </c>
      <c r="M278" s="34">
        <v>7</v>
      </c>
      <c r="N278" s="34">
        <v>8</v>
      </c>
      <c r="O278" s="34">
        <v>9</v>
      </c>
      <c r="P278" s="34">
        <v>10</v>
      </c>
    </row>
    <row r="279" spans="4:16" x14ac:dyDescent="0.2">
      <c r="E279" t="str">
        <v>A</v>
      </c>
      <c r="G279" s="34">
        <v>1</v>
      </c>
      <c r="H279" s="34">
        <v>2</v>
      </c>
      <c r="I279" s="34">
        <v>3</v>
      </c>
      <c r="J279" s="34">
        <v>4</v>
      </c>
      <c r="K279" s="34">
        <v>5</v>
      </c>
      <c r="L279" s="34">
        <v>6</v>
      </c>
      <c r="M279" s="34">
        <v>7</v>
      </c>
      <c r="N279" s="34">
        <v>8</v>
      </c>
      <c r="O279" s="34">
        <v>9</v>
      </c>
      <c r="P279" s="34">
        <v>10</v>
      </c>
    </row>
    <row r="280" spans="4:16" x14ac:dyDescent="0.2">
      <c r="E280" t="str">
        <v>C</v>
      </c>
      <c r="G280" s="34">
        <v>1</v>
      </c>
      <c r="H280" s="34">
        <v>2</v>
      </c>
      <c r="I280" s="34">
        <v>3</v>
      </c>
      <c r="J280" s="34">
        <v>4</v>
      </c>
      <c r="K280" s="34">
        <v>5</v>
      </c>
      <c r="L280" s="34">
        <v>6</v>
      </c>
      <c r="M280" s="34">
        <v>7</v>
      </c>
      <c r="N280" s="34">
        <v>8</v>
      </c>
      <c r="O280" s="34">
        <v>9</v>
      </c>
      <c r="P280" s="34">
        <v>10</v>
      </c>
    </row>
    <row r="281" spans="4:16" x14ac:dyDescent="0.2">
      <c r="E281" t="str">
        <v>A</v>
      </c>
      <c r="G281" s="34">
        <v>1</v>
      </c>
      <c r="H281" s="34">
        <v>2</v>
      </c>
      <c r="I281" s="34">
        <v>3</v>
      </c>
      <c r="J281" s="34">
        <v>4</v>
      </c>
      <c r="K281" s="34">
        <v>5</v>
      </c>
      <c r="L281" s="34">
        <v>6</v>
      </c>
      <c r="M281" s="34">
        <v>7</v>
      </c>
      <c r="N281" s="34">
        <v>8</v>
      </c>
      <c r="O281" s="34">
        <v>9</v>
      </c>
      <c r="P281" s="34">
        <v>10</v>
      </c>
    </row>
    <row r="282" spans="4:16" x14ac:dyDescent="0.2">
      <c r="E282" t="str">
        <v>B</v>
      </c>
      <c r="G282" s="34">
        <v>1</v>
      </c>
      <c r="H282" s="34">
        <v>2</v>
      </c>
      <c r="I282" s="34">
        <v>3</v>
      </c>
      <c r="J282" s="34">
        <v>4</v>
      </c>
      <c r="K282" s="34">
        <v>5</v>
      </c>
      <c r="L282" s="34">
        <v>6</v>
      </c>
      <c r="M282" s="34">
        <v>7</v>
      </c>
      <c r="N282" s="34">
        <v>8</v>
      </c>
      <c r="O282" s="34">
        <v>9</v>
      </c>
      <c r="P282" s="34">
        <v>10</v>
      </c>
    </row>
    <row r="283" spans="4:16" x14ac:dyDescent="0.2">
      <c r="E283" t="str">
        <v>B</v>
      </c>
      <c r="G283" s="34">
        <v>1</v>
      </c>
      <c r="H283" s="34">
        <v>2</v>
      </c>
      <c r="I283" s="34">
        <v>3</v>
      </c>
      <c r="J283" s="34">
        <v>4</v>
      </c>
      <c r="K283" s="34">
        <v>5</v>
      </c>
      <c r="L283" s="34">
        <v>6</v>
      </c>
      <c r="M283" s="34">
        <v>7</v>
      </c>
      <c r="N283" s="34">
        <v>8</v>
      </c>
      <c r="O283" s="34">
        <v>9</v>
      </c>
      <c r="P283" s="34">
        <v>10</v>
      </c>
    </row>
    <row r="284" spans="4:16" x14ac:dyDescent="0.2">
      <c r="E284" t="str">
        <v>B</v>
      </c>
      <c r="G284" s="34">
        <v>1</v>
      </c>
      <c r="H284" s="34">
        <v>2</v>
      </c>
      <c r="I284" s="34">
        <v>3</v>
      </c>
      <c r="J284" s="34">
        <v>4</v>
      </c>
      <c r="K284" s="34">
        <v>5</v>
      </c>
      <c r="L284" s="34">
        <v>6</v>
      </c>
      <c r="M284" s="34">
        <v>7</v>
      </c>
      <c r="N284" s="34">
        <v>8</v>
      </c>
      <c r="O284" s="34">
        <v>9</v>
      </c>
      <c r="P284" s="34">
        <v>10</v>
      </c>
    </row>
    <row r="287" spans="4:16" ht="15" x14ac:dyDescent="0.25">
      <c r="D287" s="4" t="s">
        <v>100</v>
      </c>
    </row>
    <row r="289" spans="4:16" x14ac:dyDescent="0.2">
      <c r="E289" t="str" cm="1">
        <f t="array" ref="E289:E297">_xlfn.ANCHORARRAY(E15)</f>
        <v>B</v>
      </c>
      <c r="G289" cm="1">
        <f t="array" ref="G289:P297">_xlfn.MAXIFS(_xlfn.ANCHORARRAY(G15),_xlfn.ANCHORARRAY(G263),_xlfn.SEQUENCE(COUNTA(_xlfn.ANCHORARRAY(E289))),_xlfn.ANCHORARRAY(G276),"&lt;="&amp;_xlfn.ANCHORARRAY(G12))</f>
        <v>1</v>
      </c>
      <c r="H289">
        <v>9</v>
      </c>
      <c r="I289">
        <v>9</v>
      </c>
      <c r="J289">
        <v>9</v>
      </c>
      <c r="K289">
        <v>9</v>
      </c>
      <c r="L289">
        <v>9</v>
      </c>
      <c r="M289">
        <v>9</v>
      </c>
      <c r="N289">
        <v>9</v>
      </c>
      <c r="O289">
        <v>9</v>
      </c>
      <c r="P289">
        <v>9</v>
      </c>
    </row>
    <row r="290" spans="4:16" x14ac:dyDescent="0.2">
      <c r="E290" t="str">
        <v>B</v>
      </c>
      <c r="G290">
        <v>9</v>
      </c>
      <c r="H290">
        <v>9</v>
      </c>
      <c r="I290">
        <v>9</v>
      </c>
      <c r="J290">
        <v>9</v>
      </c>
      <c r="K290">
        <v>10</v>
      </c>
      <c r="L290">
        <v>10</v>
      </c>
      <c r="M290">
        <v>10</v>
      </c>
      <c r="N290">
        <v>10</v>
      </c>
      <c r="O290">
        <v>10</v>
      </c>
      <c r="P290">
        <v>10</v>
      </c>
    </row>
    <row r="291" spans="4:16" x14ac:dyDescent="0.2">
      <c r="E291" t="str">
        <v>A</v>
      </c>
      <c r="G291">
        <v>4</v>
      </c>
      <c r="H291">
        <v>4</v>
      </c>
      <c r="I291">
        <v>4</v>
      </c>
      <c r="J291">
        <v>4</v>
      </c>
      <c r="K291">
        <v>4</v>
      </c>
      <c r="L291">
        <v>4</v>
      </c>
      <c r="M291">
        <v>4</v>
      </c>
      <c r="N291">
        <v>8</v>
      </c>
      <c r="O291">
        <v>8</v>
      </c>
      <c r="P291">
        <v>8</v>
      </c>
    </row>
    <row r="292" spans="4:16" x14ac:dyDescent="0.2">
      <c r="E292" t="str">
        <v>A</v>
      </c>
      <c r="G292">
        <v>4</v>
      </c>
      <c r="H292">
        <v>4</v>
      </c>
      <c r="I292">
        <v>6</v>
      </c>
      <c r="J292">
        <v>6</v>
      </c>
      <c r="K292">
        <v>6</v>
      </c>
      <c r="L292">
        <v>7</v>
      </c>
      <c r="M292">
        <v>8</v>
      </c>
      <c r="N292">
        <v>8</v>
      </c>
      <c r="O292">
        <v>8</v>
      </c>
      <c r="P292">
        <v>8</v>
      </c>
    </row>
    <row r="293" spans="4:16" x14ac:dyDescent="0.2">
      <c r="E293" t="str">
        <v>C</v>
      </c>
      <c r="G293">
        <v>10</v>
      </c>
      <c r="H293">
        <v>10</v>
      </c>
      <c r="I293">
        <v>10</v>
      </c>
      <c r="J293">
        <v>10</v>
      </c>
      <c r="K293">
        <v>10</v>
      </c>
      <c r="L293">
        <v>10</v>
      </c>
      <c r="M293">
        <v>10</v>
      </c>
      <c r="N293">
        <v>10</v>
      </c>
      <c r="O293">
        <v>10</v>
      </c>
      <c r="P293">
        <v>10</v>
      </c>
    </row>
    <row r="294" spans="4:16" x14ac:dyDescent="0.2">
      <c r="E294" t="str">
        <v>A</v>
      </c>
      <c r="G294">
        <v>10</v>
      </c>
      <c r="H294">
        <v>10</v>
      </c>
      <c r="I294">
        <v>10</v>
      </c>
      <c r="J294">
        <v>10</v>
      </c>
      <c r="K294">
        <v>10</v>
      </c>
      <c r="L294">
        <v>10</v>
      </c>
      <c r="M294">
        <v>10</v>
      </c>
      <c r="N294">
        <v>10</v>
      </c>
      <c r="O294">
        <v>10</v>
      </c>
      <c r="P294">
        <v>10</v>
      </c>
    </row>
    <row r="295" spans="4:16" x14ac:dyDescent="0.2">
      <c r="E295" t="str">
        <v>B</v>
      </c>
      <c r="G295">
        <v>4</v>
      </c>
      <c r="H295">
        <v>9</v>
      </c>
      <c r="I295">
        <v>9</v>
      </c>
      <c r="J295">
        <v>9</v>
      </c>
      <c r="K295">
        <v>9</v>
      </c>
      <c r="L295">
        <v>9</v>
      </c>
      <c r="M295">
        <v>9</v>
      </c>
      <c r="N295">
        <v>9</v>
      </c>
      <c r="O295">
        <v>9</v>
      </c>
      <c r="P295">
        <v>9</v>
      </c>
    </row>
    <row r="296" spans="4:16" x14ac:dyDescent="0.2">
      <c r="E296" t="str">
        <v>B</v>
      </c>
      <c r="G296">
        <v>9</v>
      </c>
      <c r="H296">
        <v>9</v>
      </c>
      <c r="I296">
        <v>9</v>
      </c>
      <c r="J296">
        <v>9</v>
      </c>
      <c r="K296">
        <v>9</v>
      </c>
      <c r="L296">
        <v>9</v>
      </c>
      <c r="M296">
        <v>10</v>
      </c>
      <c r="N296">
        <v>10</v>
      </c>
      <c r="O296">
        <v>10</v>
      </c>
      <c r="P296">
        <v>10</v>
      </c>
    </row>
    <row r="297" spans="4:16" x14ac:dyDescent="0.2">
      <c r="E297" t="str">
        <v>B</v>
      </c>
      <c r="G297">
        <v>4</v>
      </c>
      <c r="H297">
        <v>9</v>
      </c>
      <c r="I297">
        <v>9</v>
      </c>
      <c r="J297">
        <v>9</v>
      </c>
      <c r="K297">
        <v>9</v>
      </c>
      <c r="L297">
        <v>9</v>
      </c>
      <c r="M297">
        <v>9</v>
      </c>
      <c r="N297">
        <v>9</v>
      </c>
      <c r="O297">
        <v>9</v>
      </c>
      <c r="P297">
        <v>9</v>
      </c>
    </row>
    <row r="300" spans="4:16" ht="15" x14ac:dyDescent="0.25">
      <c r="D300" s="4" t="s">
        <v>101</v>
      </c>
    </row>
    <row r="302" spans="4:16" x14ac:dyDescent="0.2">
      <c r="E302" t="str" cm="1">
        <f t="array" ref="E302:E310">_xlfn.ANCHORARRAY(E15)</f>
        <v>B</v>
      </c>
      <c r="G302" cm="1">
        <f t="array" ref="G302:P310">_xlfn.MINIFS(_xlfn.ANCHORARRAY(G15),_xlfn.ANCHORARRAY(G263),_xlfn.SEQUENCE(COUNTA(_xlfn.ANCHORARRAY(E289))),_xlfn.ANCHORARRAY(G276),"&lt;="&amp;_xlfn.ANCHORARRAY(G12))</f>
        <v>1</v>
      </c>
      <c r="H302">
        <v>1</v>
      </c>
      <c r="I302">
        <v>1</v>
      </c>
      <c r="J302">
        <v>1</v>
      </c>
      <c r="K302">
        <v>1</v>
      </c>
      <c r="L302">
        <v>1</v>
      </c>
      <c r="M302">
        <v>1</v>
      </c>
      <c r="N302">
        <v>1</v>
      </c>
      <c r="O302">
        <v>1</v>
      </c>
      <c r="P302">
        <v>1</v>
      </c>
    </row>
    <row r="303" spans="4:16" x14ac:dyDescent="0.2">
      <c r="E303" t="str">
        <v>B</v>
      </c>
      <c r="G303">
        <v>9</v>
      </c>
      <c r="H303">
        <v>6</v>
      </c>
      <c r="I303">
        <v>6</v>
      </c>
      <c r="J303">
        <v>3</v>
      </c>
      <c r="K303">
        <v>3</v>
      </c>
      <c r="L303">
        <v>3</v>
      </c>
      <c r="M303">
        <v>3</v>
      </c>
      <c r="N303">
        <v>3</v>
      </c>
      <c r="O303">
        <v>3</v>
      </c>
      <c r="P303">
        <v>3</v>
      </c>
    </row>
    <row r="304" spans="4:16" x14ac:dyDescent="0.2">
      <c r="E304" t="str">
        <v>A</v>
      </c>
      <c r="G304">
        <v>4</v>
      </c>
      <c r="H304">
        <v>2</v>
      </c>
      <c r="I304">
        <v>2</v>
      </c>
      <c r="J304">
        <v>2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</row>
    <row r="305" spans="4:16" x14ac:dyDescent="0.2">
      <c r="E305" t="str">
        <v>A</v>
      </c>
      <c r="G305">
        <v>4</v>
      </c>
      <c r="H305">
        <v>2</v>
      </c>
      <c r="I305">
        <v>2</v>
      </c>
      <c r="J305">
        <v>2</v>
      </c>
      <c r="K305">
        <v>2</v>
      </c>
      <c r="L305">
        <v>2</v>
      </c>
      <c r="M305">
        <v>2</v>
      </c>
      <c r="N305">
        <v>2</v>
      </c>
      <c r="O305">
        <v>2</v>
      </c>
      <c r="P305">
        <v>2</v>
      </c>
    </row>
    <row r="306" spans="4:16" x14ac:dyDescent="0.2">
      <c r="E306" t="str">
        <v>C</v>
      </c>
      <c r="G306">
        <v>10</v>
      </c>
      <c r="H306">
        <v>1</v>
      </c>
      <c r="I306">
        <v>1</v>
      </c>
      <c r="J306">
        <v>1</v>
      </c>
      <c r="K306">
        <v>1</v>
      </c>
      <c r="L306">
        <v>1</v>
      </c>
      <c r="M306">
        <v>1</v>
      </c>
      <c r="N306">
        <v>1</v>
      </c>
      <c r="O306">
        <v>1</v>
      </c>
      <c r="P306">
        <v>1</v>
      </c>
    </row>
    <row r="307" spans="4:16" x14ac:dyDescent="0.2">
      <c r="E307" t="str">
        <v>A</v>
      </c>
      <c r="G307">
        <v>10</v>
      </c>
      <c r="H307">
        <v>9</v>
      </c>
      <c r="I307">
        <v>3</v>
      </c>
      <c r="J307">
        <v>3</v>
      </c>
      <c r="K307">
        <v>3</v>
      </c>
      <c r="L307">
        <v>3</v>
      </c>
      <c r="M307">
        <v>0</v>
      </c>
      <c r="N307">
        <v>0</v>
      </c>
      <c r="O307">
        <v>0</v>
      </c>
      <c r="P307">
        <v>0</v>
      </c>
    </row>
    <row r="308" spans="4:16" x14ac:dyDescent="0.2">
      <c r="E308" t="str">
        <v>B</v>
      </c>
      <c r="G308">
        <v>4</v>
      </c>
      <c r="H308">
        <v>4</v>
      </c>
      <c r="I308">
        <v>3</v>
      </c>
      <c r="J308">
        <v>2</v>
      </c>
      <c r="K308">
        <v>2</v>
      </c>
      <c r="L308">
        <v>0</v>
      </c>
      <c r="M308">
        <v>0</v>
      </c>
      <c r="N308">
        <v>0</v>
      </c>
      <c r="O308">
        <v>0</v>
      </c>
      <c r="P308">
        <v>0</v>
      </c>
    </row>
    <row r="309" spans="4:16" x14ac:dyDescent="0.2">
      <c r="E309" t="str">
        <v>B</v>
      </c>
      <c r="G309">
        <v>9</v>
      </c>
      <c r="H309">
        <v>9</v>
      </c>
      <c r="I309">
        <v>6</v>
      </c>
      <c r="J309">
        <v>6</v>
      </c>
      <c r="K309">
        <v>6</v>
      </c>
      <c r="L309">
        <v>6</v>
      </c>
      <c r="M309">
        <v>6</v>
      </c>
      <c r="N309">
        <v>6</v>
      </c>
      <c r="O309">
        <v>5</v>
      </c>
      <c r="P309">
        <v>2</v>
      </c>
    </row>
    <row r="310" spans="4:16" x14ac:dyDescent="0.2">
      <c r="E310" t="str">
        <v>B</v>
      </c>
      <c r="G310">
        <v>4</v>
      </c>
      <c r="H310">
        <v>4</v>
      </c>
      <c r="I310">
        <v>4</v>
      </c>
      <c r="J310">
        <v>2</v>
      </c>
      <c r="K310">
        <v>2</v>
      </c>
      <c r="L310">
        <v>0</v>
      </c>
      <c r="M310">
        <v>0</v>
      </c>
      <c r="N310">
        <v>0</v>
      </c>
      <c r="O310">
        <v>0</v>
      </c>
      <c r="P310">
        <v>0</v>
      </c>
    </row>
    <row r="313" spans="4:16" ht="15" x14ac:dyDescent="0.25">
      <c r="D313" s="4" t="s">
        <v>102</v>
      </c>
    </row>
    <row r="315" spans="4:16" x14ac:dyDescent="0.2">
      <c r="E315" t="str" cm="1">
        <f t="array" ref="E315:E323">_xlfn.ANCHORARRAY(E15)</f>
        <v>B</v>
      </c>
      <c r="G315" cm="1">
        <f t="array" ref="G315:P323">COUNTIFS(_xlfn.ANCHORARRAY(G15),_xlfn.ANCHORARRAY(G15),_xlfn.ANCHORARRAY(G263),_xlfn.SEQUENCE(COUNTA(_xlfn.ANCHORARRAY(E289))),_xlfn.ANCHORARRAY(G276),"&lt;="&amp;_xlfn.ANCHORARRAY(G12))</f>
        <v>1</v>
      </c>
      <c r="H315">
        <v>1</v>
      </c>
      <c r="I315">
        <v>1</v>
      </c>
      <c r="J315">
        <v>1</v>
      </c>
      <c r="K315">
        <v>2</v>
      </c>
      <c r="L315">
        <v>2</v>
      </c>
      <c r="M315">
        <v>3</v>
      </c>
      <c r="N315">
        <v>4</v>
      </c>
      <c r="O315">
        <v>5</v>
      </c>
      <c r="P315">
        <v>3</v>
      </c>
    </row>
    <row r="316" spans="4:16" x14ac:dyDescent="0.2">
      <c r="E316" t="str">
        <v>B</v>
      </c>
      <c r="G316">
        <v>1</v>
      </c>
      <c r="H316">
        <v>1</v>
      </c>
      <c r="I316">
        <v>1</v>
      </c>
      <c r="J316">
        <v>1</v>
      </c>
      <c r="K316">
        <v>1</v>
      </c>
      <c r="L316">
        <v>1</v>
      </c>
      <c r="M316">
        <v>2</v>
      </c>
      <c r="N316">
        <v>2</v>
      </c>
      <c r="O316">
        <v>2</v>
      </c>
      <c r="P316">
        <v>2</v>
      </c>
    </row>
    <row r="317" spans="4:16" x14ac:dyDescent="0.2">
      <c r="E317" t="str">
        <v>A</v>
      </c>
      <c r="G317">
        <v>1</v>
      </c>
      <c r="H317">
        <v>1</v>
      </c>
      <c r="I317">
        <v>2</v>
      </c>
      <c r="J317">
        <v>3</v>
      </c>
      <c r="K317">
        <v>1</v>
      </c>
      <c r="L317">
        <v>1</v>
      </c>
      <c r="M317">
        <v>2</v>
      </c>
      <c r="N317">
        <v>1</v>
      </c>
      <c r="O317">
        <v>2</v>
      </c>
      <c r="P317">
        <v>2</v>
      </c>
    </row>
    <row r="318" spans="4:16" x14ac:dyDescent="0.2">
      <c r="E318" t="str">
        <v>A</v>
      </c>
      <c r="G318">
        <v>1</v>
      </c>
      <c r="H318">
        <v>1</v>
      </c>
      <c r="I318">
        <v>1</v>
      </c>
      <c r="J318">
        <v>2</v>
      </c>
      <c r="K318">
        <v>3</v>
      </c>
      <c r="L318">
        <v>1</v>
      </c>
      <c r="M318">
        <v>1</v>
      </c>
      <c r="N318">
        <v>1</v>
      </c>
      <c r="O318">
        <v>4</v>
      </c>
      <c r="P318">
        <v>2</v>
      </c>
    </row>
    <row r="319" spans="4:16" x14ac:dyDescent="0.2">
      <c r="E319" t="str">
        <v>C</v>
      </c>
      <c r="G319">
        <v>1</v>
      </c>
      <c r="H319">
        <v>1</v>
      </c>
      <c r="I319">
        <v>2</v>
      </c>
      <c r="J319">
        <v>1</v>
      </c>
      <c r="K319">
        <v>1</v>
      </c>
      <c r="L319">
        <v>2</v>
      </c>
      <c r="M319">
        <v>1</v>
      </c>
      <c r="N319">
        <v>1</v>
      </c>
      <c r="O319">
        <v>2</v>
      </c>
      <c r="P319">
        <v>2</v>
      </c>
    </row>
    <row r="320" spans="4:16" x14ac:dyDescent="0.2">
      <c r="E320" t="str">
        <v>A</v>
      </c>
      <c r="G320">
        <v>1</v>
      </c>
      <c r="H320">
        <v>1</v>
      </c>
      <c r="I320">
        <v>1</v>
      </c>
      <c r="J320">
        <v>2</v>
      </c>
      <c r="K320">
        <v>3</v>
      </c>
      <c r="L320">
        <v>1</v>
      </c>
      <c r="M320">
        <v>1</v>
      </c>
      <c r="N320">
        <v>2</v>
      </c>
      <c r="O320">
        <v>1</v>
      </c>
      <c r="P320">
        <v>1</v>
      </c>
    </row>
    <row r="321" spans="5:16" x14ac:dyDescent="0.2">
      <c r="E321" t="str">
        <v>B</v>
      </c>
      <c r="G321">
        <v>1</v>
      </c>
      <c r="H321">
        <v>1</v>
      </c>
      <c r="I321">
        <v>1</v>
      </c>
      <c r="J321">
        <v>1</v>
      </c>
      <c r="K321">
        <v>1</v>
      </c>
      <c r="L321">
        <v>1</v>
      </c>
      <c r="M321">
        <v>2</v>
      </c>
      <c r="N321">
        <v>2</v>
      </c>
      <c r="O321">
        <v>2</v>
      </c>
      <c r="P321">
        <v>3</v>
      </c>
    </row>
    <row r="322" spans="5:16" x14ac:dyDescent="0.2">
      <c r="E322" t="str">
        <v>B</v>
      </c>
      <c r="G322">
        <v>1</v>
      </c>
      <c r="H322">
        <v>2</v>
      </c>
      <c r="I322">
        <v>1</v>
      </c>
      <c r="J322">
        <v>3</v>
      </c>
      <c r="K322">
        <v>1</v>
      </c>
      <c r="L322">
        <v>4</v>
      </c>
      <c r="M322">
        <v>1</v>
      </c>
      <c r="N322">
        <v>1</v>
      </c>
      <c r="O322">
        <v>1</v>
      </c>
      <c r="P322">
        <v>1</v>
      </c>
    </row>
    <row r="323" spans="5:16" x14ac:dyDescent="0.2">
      <c r="E323" t="str">
        <v>B</v>
      </c>
      <c r="G323">
        <v>1</v>
      </c>
      <c r="H323">
        <v>1</v>
      </c>
      <c r="I323">
        <v>1</v>
      </c>
      <c r="J323">
        <v>1</v>
      </c>
      <c r="K323">
        <v>1</v>
      </c>
      <c r="L323">
        <v>1</v>
      </c>
      <c r="M323">
        <v>2</v>
      </c>
      <c r="N323">
        <v>3</v>
      </c>
      <c r="O323">
        <v>1</v>
      </c>
      <c r="P323">
        <v>2</v>
      </c>
    </row>
  </sheetData>
  <mergeCells count="1">
    <mergeCell ref="A3:F3"/>
  </mergeCells>
  <conditionalFormatting sqref="G4">
    <cfRule type="cellIs" dxfId="1" priority="1" operator="notEqual">
      <formula>0</formula>
    </cfRule>
  </conditionalFormatting>
  <hyperlinks>
    <hyperlink ref="G4" location="Overall_Error_Check" tooltip="Go to Overall Error Check" display="Overall_Error_Check" xr:uid="{00000000-0004-0000-0600-000000000000}"/>
    <hyperlink ref="A3:F3" location="HL_Navigator" tooltip="Go to Navigator (Table of Contents)" display="Navigator" xr:uid="{00000000-0004-0000-0600-000001000000}"/>
    <hyperlink ref="A3" location="HL_Navigator" display="Navigator" xr:uid="{00000000-0004-0000-0600-0000020000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62CF8-A894-4B3A-A1DD-42544186EF32}">
  <dimension ref="A1:O135"/>
  <sheetViews>
    <sheetView showGridLines="0" zoomScaleNormal="100" workbookViewId="0"/>
  </sheetViews>
  <sheetFormatPr defaultRowHeight="12" x14ac:dyDescent="0.2"/>
  <cols>
    <col min="1" max="4" width="3.7109375" customWidth="1"/>
    <col min="5" max="5" width="15.5703125" customWidth="1"/>
    <col min="6" max="15" width="10.42578125" customWidth="1"/>
  </cols>
  <sheetData>
    <row r="1" spans="1:15" ht="20.25" x14ac:dyDescent="0.3">
      <c r="A1" s="41" t="str">
        <f ca="1">IF(ISERROR(RIGHT(CELL("filename"),LEN(CELL("filename"))-FIND("]",CELL("filename")))),
"",
RIGHT(CELL("filename"),LEN(CELL("filename"))-FIND("]",CELL("filename"))))</f>
        <v>Navigator</v>
      </c>
      <c r="L1" s="11"/>
    </row>
    <row r="2" spans="1:15" ht="18" x14ac:dyDescent="0.25">
      <c r="A2" s="42" t="str">
        <f ca="1">Model_Name</f>
        <v>SP Matrix Manipulation SN0.09.xlsm</v>
      </c>
    </row>
    <row r="3" spans="1:15" x14ac:dyDescent="0.2">
      <c r="A3" s="60" t="s">
        <v>0</v>
      </c>
      <c r="B3" s="60"/>
      <c r="C3" s="60"/>
      <c r="D3" s="60"/>
      <c r="E3" s="60"/>
      <c r="F3" s="60"/>
    </row>
    <row r="4" spans="1:15" ht="14.25" x14ac:dyDescent="0.2">
      <c r="B4" t="s">
        <v>8</v>
      </c>
      <c r="G4" s="1">
        <f>Overall_Error_Check</f>
        <v>0</v>
      </c>
    </row>
    <row r="5" spans="1:15" x14ac:dyDescent="0.2">
      <c r="A5" s="11"/>
    </row>
    <row r="6" spans="1:15" ht="16.5" thickBot="1" x14ac:dyDescent="0.3">
      <c r="B6" s="43">
        <f>MAX($B$5:$B5)+1</f>
        <v>1</v>
      </c>
      <c r="C6" s="2" t="str">
        <f ca="1">A1</f>
        <v>Navigator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1:15" ht="12.75" thickTop="1" x14ac:dyDescent="0.2"/>
    <row r="8" spans="1:15" ht="16.5" x14ac:dyDescent="0.25">
      <c r="C8" s="3" t="s">
        <v>144</v>
      </c>
    </row>
    <row r="10" spans="1:15" x14ac:dyDescent="0.2">
      <c r="E10" t="s">
        <v>145</v>
      </c>
      <c r="F10" t="s">
        <v>146</v>
      </c>
    </row>
    <row r="11" spans="1:15" x14ac:dyDescent="0.2">
      <c r="E11" t="s">
        <v>147</v>
      </c>
      <c r="F11" t="s">
        <v>148</v>
      </c>
    </row>
    <row r="12" spans="1:15" x14ac:dyDescent="0.2">
      <c r="E12" t="s">
        <v>124</v>
      </c>
      <c r="F12" t="s">
        <v>149</v>
      </c>
    </row>
    <row r="13" spans="1:15" x14ac:dyDescent="0.2">
      <c r="E13" t="s">
        <v>126</v>
      </c>
      <c r="F13" t="s">
        <v>150</v>
      </c>
    </row>
    <row r="14" spans="1:15" x14ac:dyDescent="0.2">
      <c r="E14" t="s">
        <v>127</v>
      </c>
      <c r="F14" t="s">
        <v>151</v>
      </c>
    </row>
    <row r="15" spans="1:15" x14ac:dyDescent="0.2">
      <c r="E15" t="s">
        <v>128</v>
      </c>
      <c r="F15" t="s">
        <v>152</v>
      </c>
    </row>
    <row r="16" spans="1:15" x14ac:dyDescent="0.2">
      <c r="E16" t="s">
        <v>153</v>
      </c>
      <c r="F16" t="s">
        <v>154</v>
      </c>
    </row>
    <row r="17" spans="5:6" x14ac:dyDescent="0.2">
      <c r="E17" t="s">
        <v>155</v>
      </c>
      <c r="F17" t="s">
        <v>156</v>
      </c>
    </row>
    <row r="18" spans="5:6" x14ac:dyDescent="0.2">
      <c r="E18" t="s">
        <v>130</v>
      </c>
      <c r="F18" t="s">
        <v>157</v>
      </c>
    </row>
    <row r="19" spans="5:6" x14ac:dyDescent="0.2">
      <c r="E19" t="s">
        <v>131</v>
      </c>
      <c r="F19" t="s">
        <v>158</v>
      </c>
    </row>
    <row r="20" spans="5:6" x14ac:dyDescent="0.2">
      <c r="E20" t="s">
        <v>159</v>
      </c>
      <c r="F20" t="s">
        <v>160</v>
      </c>
    </row>
    <row r="21" spans="5:6" x14ac:dyDescent="0.2">
      <c r="E21" t="s">
        <v>132</v>
      </c>
      <c r="F21" t="s">
        <v>161</v>
      </c>
    </row>
    <row r="22" spans="5:6" x14ac:dyDescent="0.2">
      <c r="E22" t="s">
        <v>133</v>
      </c>
      <c r="F22" t="s">
        <v>162</v>
      </c>
    </row>
    <row r="23" spans="5:6" x14ac:dyDescent="0.2">
      <c r="E23" t="s">
        <v>163</v>
      </c>
      <c r="F23" t="s">
        <v>164</v>
      </c>
    </row>
    <row r="24" spans="5:6" x14ac:dyDescent="0.2">
      <c r="E24" t="s">
        <v>165</v>
      </c>
      <c r="F24" t="s">
        <v>166</v>
      </c>
    </row>
    <row r="25" spans="5:6" x14ac:dyDescent="0.2">
      <c r="E25" t="s">
        <v>125</v>
      </c>
      <c r="F25" t="s">
        <v>167</v>
      </c>
    </row>
    <row r="26" spans="5:6" x14ac:dyDescent="0.2">
      <c r="E26" t="s">
        <v>168</v>
      </c>
      <c r="F26" t="s">
        <v>169</v>
      </c>
    </row>
    <row r="27" spans="5:6" x14ac:dyDescent="0.2">
      <c r="E27" t="s">
        <v>170</v>
      </c>
      <c r="F27" t="s">
        <v>171</v>
      </c>
    </row>
    <row r="28" spans="5:6" x14ac:dyDescent="0.2">
      <c r="E28" t="s">
        <v>172</v>
      </c>
      <c r="F28" t="s">
        <v>173</v>
      </c>
    </row>
    <row r="29" spans="5:6" x14ac:dyDescent="0.2">
      <c r="E29" t="s">
        <v>174</v>
      </c>
      <c r="F29" t="s">
        <v>175</v>
      </c>
    </row>
    <row r="30" spans="5:6" x14ac:dyDescent="0.2">
      <c r="E30" t="s">
        <v>134</v>
      </c>
      <c r="F30" t="s">
        <v>176</v>
      </c>
    </row>
    <row r="31" spans="5:6" x14ac:dyDescent="0.2">
      <c r="E31" t="s">
        <v>135</v>
      </c>
      <c r="F31" t="s">
        <v>177</v>
      </c>
    </row>
    <row r="32" spans="5:6" x14ac:dyDescent="0.2">
      <c r="E32" t="s">
        <v>136</v>
      </c>
      <c r="F32" t="s">
        <v>178</v>
      </c>
    </row>
    <row r="33" spans="3:14" x14ac:dyDescent="0.2">
      <c r="E33" t="s">
        <v>137</v>
      </c>
      <c r="F33" t="s">
        <v>179</v>
      </c>
    </row>
    <row r="34" spans="3:14" x14ac:dyDescent="0.2">
      <c r="E34" t="s">
        <v>123</v>
      </c>
      <c r="F34" t="s">
        <v>180</v>
      </c>
    </row>
    <row r="35" spans="3:14" x14ac:dyDescent="0.2">
      <c r="E35" t="s">
        <v>181</v>
      </c>
      <c r="F35" t="s">
        <v>182</v>
      </c>
    </row>
    <row r="36" spans="3:14" x14ac:dyDescent="0.2">
      <c r="E36" t="s">
        <v>183</v>
      </c>
      <c r="F36" t="s">
        <v>184</v>
      </c>
    </row>
    <row r="37" spans="3:14" x14ac:dyDescent="0.2">
      <c r="E37" t="s">
        <v>138</v>
      </c>
      <c r="F37" t="s">
        <v>185</v>
      </c>
    </row>
    <row r="38" spans="3:14" x14ac:dyDescent="0.2">
      <c r="E38" t="s">
        <v>139</v>
      </c>
      <c r="F38" t="s">
        <v>185</v>
      </c>
    </row>
    <row r="39" spans="3:14" x14ac:dyDescent="0.2">
      <c r="E39" t="s">
        <v>140</v>
      </c>
      <c r="F39" t="s">
        <v>186</v>
      </c>
    </row>
    <row r="40" spans="3:14" x14ac:dyDescent="0.2">
      <c r="E40" t="s">
        <v>141</v>
      </c>
      <c r="F40" t="s">
        <v>187</v>
      </c>
    </row>
    <row r="43" spans="3:14" ht="16.5" x14ac:dyDescent="0.25">
      <c r="C43" s="3" t="s">
        <v>123</v>
      </c>
    </row>
    <row r="44" spans="3:14" x14ac:dyDescent="0.2">
      <c r="E44" s="18" t="s">
        <v>193</v>
      </c>
    </row>
    <row r="45" spans="3:14" x14ac:dyDescent="0.2">
      <c r="E45">
        <f>SUM(A:B!B1)</f>
        <v>3</v>
      </c>
      <c r="F45">
        <f>SUM(A:B!C1)</f>
        <v>27</v>
      </c>
      <c r="G45">
        <f>SUM(A:B!D1)</f>
        <v>9</v>
      </c>
      <c r="H45">
        <f>SUM(A:B!E1)</f>
        <v>15</v>
      </c>
      <c r="I45">
        <f>SUM(A:B!F1)</f>
        <v>9</v>
      </c>
      <c r="J45">
        <f>SUM(A:B!G1)</f>
        <v>27</v>
      </c>
      <c r="K45">
        <f>SUM(A:B!H1)</f>
        <v>9</v>
      </c>
      <c r="L45">
        <f>SUM(A:B!I1)</f>
        <v>9</v>
      </c>
      <c r="M45">
        <f>SUM(A:B!J1)</f>
        <v>9</v>
      </c>
      <c r="N45">
        <f>SUM(A:B!K1)</f>
        <v>27</v>
      </c>
    </row>
    <row r="46" spans="3:14" x14ac:dyDescent="0.2">
      <c r="E46">
        <f>SUM(A:B!B2)</f>
        <v>27</v>
      </c>
      <c r="F46">
        <f>SUM(A:B!C2)</f>
        <v>18</v>
      </c>
      <c r="G46">
        <f>SUM(A:B!D2)</f>
        <v>24</v>
      </c>
      <c r="H46">
        <f>SUM(A:B!E2)</f>
        <v>9</v>
      </c>
      <c r="I46">
        <f>SUM(A:B!F2)</f>
        <v>30</v>
      </c>
      <c r="J46">
        <f>SUM(A:B!G2)</f>
        <v>15</v>
      </c>
      <c r="K46">
        <f>SUM(A:B!H2)</f>
        <v>30</v>
      </c>
      <c r="L46">
        <f>SUM(A:B!I2)</f>
        <v>27</v>
      </c>
      <c r="M46">
        <f>SUM(A:B!J2)</f>
        <v>24</v>
      </c>
      <c r="N46">
        <f>SUM(A:B!K2)</f>
        <v>9</v>
      </c>
    </row>
    <row r="47" spans="3:14" x14ac:dyDescent="0.2">
      <c r="E47">
        <f>SUM(A:B!B3)</f>
        <v>12</v>
      </c>
      <c r="F47">
        <f>SUM(A:B!C3)</f>
        <v>6</v>
      </c>
      <c r="G47">
        <f>SUM(A:B!D3)</f>
        <v>6</v>
      </c>
      <c r="H47">
        <f>SUM(A:B!E3)</f>
        <v>6</v>
      </c>
      <c r="I47">
        <f>SUM(A:B!F3)</f>
        <v>0</v>
      </c>
      <c r="J47">
        <f>SUM(A:B!G3)</f>
        <v>3</v>
      </c>
      <c r="K47">
        <f>SUM(A:B!H3)</f>
        <v>0</v>
      </c>
      <c r="L47">
        <f>SUM(A:B!I3)</f>
        <v>24</v>
      </c>
      <c r="M47">
        <f>SUM(A:B!J3)</f>
        <v>12</v>
      </c>
      <c r="N47">
        <f>SUM(A:B!K3)</f>
        <v>24</v>
      </c>
    </row>
    <row r="48" spans="3:14" x14ac:dyDescent="0.2">
      <c r="E48">
        <f>SUM(A:B!B4)</f>
        <v>12</v>
      </c>
      <c r="F48">
        <f>SUM(A:B!C4)</f>
        <v>6</v>
      </c>
      <c r="G48">
        <f>SUM(A:B!D4)</f>
        <v>18</v>
      </c>
      <c r="H48">
        <f>SUM(A:B!E4)</f>
        <v>12</v>
      </c>
      <c r="I48">
        <f>SUM(A:B!F4)</f>
        <v>12</v>
      </c>
      <c r="J48">
        <f>SUM(A:B!G4)</f>
        <v>21</v>
      </c>
      <c r="K48">
        <f>SUM(A:B!H4)</f>
        <v>24</v>
      </c>
      <c r="L48">
        <f>SUM(A:B!I4)</f>
        <v>9</v>
      </c>
      <c r="M48">
        <f>SUM(A:B!J4)</f>
        <v>12</v>
      </c>
      <c r="N48">
        <f>SUM(A:B!K4)</f>
        <v>24</v>
      </c>
    </row>
    <row r="49" spans="3:14" x14ac:dyDescent="0.2">
      <c r="E49">
        <f>SUM(A:B!B5)</f>
        <v>30</v>
      </c>
      <c r="F49">
        <f>SUM(A:B!C5)</f>
        <v>3</v>
      </c>
      <c r="G49">
        <f>SUM(A:B!D5)</f>
        <v>3</v>
      </c>
      <c r="H49">
        <f>SUM(A:B!E5)</f>
        <v>21</v>
      </c>
      <c r="I49">
        <f>SUM(A:B!F5)</f>
        <v>9</v>
      </c>
      <c r="J49">
        <f>SUM(A:B!G5)</f>
        <v>9</v>
      </c>
      <c r="K49">
        <f>SUM(A:B!H5)</f>
        <v>27</v>
      </c>
      <c r="L49">
        <f>SUM(A:B!I5)</f>
        <v>24</v>
      </c>
      <c r="M49">
        <f>SUM(A:B!J5)</f>
        <v>27</v>
      </c>
      <c r="N49">
        <f>SUM(A:B!K5)</f>
        <v>21</v>
      </c>
    </row>
    <row r="50" spans="3:14" x14ac:dyDescent="0.2">
      <c r="E50">
        <f>SUM(A:B!B6)</f>
        <v>30</v>
      </c>
      <c r="F50">
        <f>SUM(A:B!C6)</f>
        <v>27</v>
      </c>
      <c r="G50">
        <f>SUM(A:B!D6)</f>
        <v>9</v>
      </c>
      <c r="H50">
        <f>SUM(A:B!E6)</f>
        <v>9</v>
      </c>
      <c r="I50">
        <f>SUM(A:B!F6)</f>
        <v>9</v>
      </c>
      <c r="J50">
        <f>SUM(A:B!G6)</f>
        <v>24</v>
      </c>
      <c r="K50">
        <f>SUM(A:B!H6)</f>
        <v>0</v>
      </c>
      <c r="L50">
        <f>SUM(A:B!I6)</f>
        <v>27</v>
      </c>
      <c r="M50">
        <f>SUM(A:B!J6)</f>
        <v>3</v>
      </c>
      <c r="N50">
        <f>SUM(A:B!K6)</f>
        <v>21</v>
      </c>
    </row>
    <row r="51" spans="3:14" x14ac:dyDescent="0.2">
      <c r="E51">
        <f>SUM(A:B!B7)</f>
        <v>12</v>
      </c>
      <c r="F51">
        <f>SUM(A:B!C7)</f>
        <v>27</v>
      </c>
      <c r="G51">
        <f>SUM(A:B!D7)</f>
        <v>9</v>
      </c>
      <c r="H51">
        <f>SUM(A:B!E7)</f>
        <v>6</v>
      </c>
      <c r="I51">
        <f>SUM(A:B!F7)</f>
        <v>21</v>
      </c>
      <c r="J51">
        <f>SUM(A:B!G7)</f>
        <v>0</v>
      </c>
      <c r="K51">
        <f>SUM(A:B!H7)</f>
        <v>0</v>
      </c>
      <c r="L51">
        <f>SUM(A:B!I7)</f>
        <v>21</v>
      </c>
      <c r="M51">
        <f>SUM(A:B!J7)</f>
        <v>27</v>
      </c>
      <c r="N51">
        <f>SUM(A:B!K7)</f>
        <v>0</v>
      </c>
    </row>
    <row r="52" spans="3:14" x14ac:dyDescent="0.2">
      <c r="E52">
        <f>SUM(A:B!B8)</f>
        <v>27</v>
      </c>
      <c r="F52">
        <f>SUM(A:B!C8)</f>
        <v>27</v>
      </c>
      <c r="G52">
        <f>SUM(A:B!D8)</f>
        <v>18</v>
      </c>
      <c r="H52">
        <f>SUM(A:B!E8)</f>
        <v>27</v>
      </c>
      <c r="I52">
        <f>SUM(A:B!F8)</f>
        <v>24</v>
      </c>
      <c r="J52">
        <f>SUM(A:B!G8)</f>
        <v>27</v>
      </c>
      <c r="K52">
        <f>SUM(A:B!H8)</f>
        <v>30</v>
      </c>
      <c r="L52">
        <f>SUM(A:B!I8)</f>
        <v>21</v>
      </c>
      <c r="M52">
        <f>SUM(A:B!J8)</f>
        <v>15</v>
      </c>
      <c r="N52">
        <f>SUM(A:B!K8)</f>
        <v>6</v>
      </c>
    </row>
    <row r="53" spans="3:14" x14ac:dyDescent="0.2">
      <c r="E53">
        <f>SUM(A:B!B9)</f>
        <v>12</v>
      </c>
      <c r="F53">
        <f>SUM(A:B!C9)</f>
        <v>27</v>
      </c>
      <c r="G53">
        <f>SUM(A:B!D9)</f>
        <v>21</v>
      </c>
      <c r="H53">
        <f>SUM(A:B!E9)</f>
        <v>6</v>
      </c>
      <c r="I53">
        <f>SUM(A:B!F9)</f>
        <v>24</v>
      </c>
      <c r="J53">
        <f>SUM(A:B!G9)</f>
        <v>0</v>
      </c>
      <c r="K53">
        <f>SUM(A:B!H9)</f>
        <v>21</v>
      </c>
      <c r="L53">
        <f>SUM(A:B!I9)</f>
        <v>21</v>
      </c>
      <c r="M53">
        <f>SUM(A:B!J9)</f>
        <v>9</v>
      </c>
      <c r="N53">
        <f>SUM(A:B!K9)</f>
        <v>0</v>
      </c>
    </row>
    <row r="56" spans="3:14" ht="16.5" x14ac:dyDescent="0.25">
      <c r="C56" s="3" t="s">
        <v>129</v>
      </c>
    </row>
    <row r="57" spans="3:14" x14ac:dyDescent="0.2">
      <c r="E57" s="18" t="s">
        <v>194</v>
      </c>
    </row>
    <row r="58" spans="3:14" x14ac:dyDescent="0.2">
      <c r="E58">
        <f>SUM(_xlfn.HSTACK(A:B!B1))</f>
        <v>3</v>
      </c>
      <c r="F58">
        <f>SUM(_xlfn.HSTACK(A:B!C1))</f>
        <v>27</v>
      </c>
      <c r="G58">
        <f>SUM(_xlfn.HSTACK(A:B!D1))</f>
        <v>9</v>
      </c>
      <c r="H58">
        <f>SUM(_xlfn.HSTACK(A:B!E1))</f>
        <v>15</v>
      </c>
      <c r="I58">
        <f>SUM(_xlfn.HSTACK(A:B!F1))</f>
        <v>9</v>
      </c>
      <c r="J58">
        <f>SUM(_xlfn.HSTACK(A:B!G1))</f>
        <v>27</v>
      </c>
      <c r="K58">
        <f>SUM(_xlfn.HSTACK(A:B!H1))</f>
        <v>9</v>
      </c>
      <c r="L58">
        <f>SUM(_xlfn.HSTACK(A:B!I1))</f>
        <v>9</v>
      </c>
      <c r="M58">
        <f>SUM(_xlfn.HSTACK(A:B!J1))</f>
        <v>9</v>
      </c>
      <c r="N58">
        <f>SUM(_xlfn.HSTACK(A:B!K1))</f>
        <v>27</v>
      </c>
    </row>
    <row r="59" spans="3:14" x14ac:dyDescent="0.2">
      <c r="E59">
        <f>SUM(_xlfn.HSTACK(A:B!B2))</f>
        <v>27</v>
      </c>
      <c r="F59">
        <f>SUM(_xlfn.HSTACK(A:B!C2))</f>
        <v>18</v>
      </c>
      <c r="G59">
        <f>SUM(_xlfn.HSTACK(A:B!D2))</f>
        <v>24</v>
      </c>
      <c r="H59">
        <f>SUM(_xlfn.HSTACK(A:B!E2))</f>
        <v>9</v>
      </c>
      <c r="I59">
        <f>SUM(_xlfn.HSTACK(A:B!F2))</f>
        <v>30</v>
      </c>
      <c r="J59">
        <f>SUM(_xlfn.HSTACK(A:B!G2))</f>
        <v>15</v>
      </c>
      <c r="K59">
        <f>SUM(_xlfn.HSTACK(A:B!H2))</f>
        <v>30</v>
      </c>
      <c r="L59">
        <f>SUM(_xlfn.HSTACK(A:B!I2))</f>
        <v>27</v>
      </c>
      <c r="M59">
        <f>SUM(_xlfn.HSTACK(A:B!J2))</f>
        <v>24</v>
      </c>
      <c r="N59">
        <f>SUM(_xlfn.HSTACK(A:B!K2))</f>
        <v>9</v>
      </c>
    </row>
    <row r="60" spans="3:14" x14ac:dyDescent="0.2">
      <c r="E60">
        <f>SUM(_xlfn.HSTACK(A:B!B3))</f>
        <v>12</v>
      </c>
      <c r="F60">
        <f>SUM(_xlfn.HSTACK(A:B!C3))</f>
        <v>6</v>
      </c>
      <c r="G60">
        <f>SUM(_xlfn.HSTACK(A:B!D3))</f>
        <v>6</v>
      </c>
      <c r="H60">
        <f>SUM(_xlfn.HSTACK(A:B!E3))</f>
        <v>6</v>
      </c>
      <c r="I60">
        <f>SUM(_xlfn.HSTACK(A:B!F3))</f>
        <v>0</v>
      </c>
      <c r="J60">
        <f>SUM(_xlfn.HSTACK(A:B!G3))</f>
        <v>3</v>
      </c>
      <c r="K60">
        <f>SUM(_xlfn.HSTACK(A:B!H3))</f>
        <v>0</v>
      </c>
      <c r="L60">
        <f>SUM(_xlfn.HSTACK(A:B!I3))</f>
        <v>24</v>
      </c>
      <c r="M60">
        <f>SUM(_xlfn.HSTACK(A:B!J3))</f>
        <v>12</v>
      </c>
      <c r="N60">
        <f>SUM(_xlfn.HSTACK(A:B!K3))</f>
        <v>24</v>
      </c>
    </row>
    <row r="61" spans="3:14" x14ac:dyDescent="0.2">
      <c r="E61">
        <f>SUM(_xlfn.HSTACK(A:B!B4))</f>
        <v>12</v>
      </c>
      <c r="F61">
        <f>SUM(_xlfn.HSTACK(A:B!C4))</f>
        <v>6</v>
      </c>
      <c r="G61">
        <f>SUM(_xlfn.HSTACK(A:B!D4))</f>
        <v>18</v>
      </c>
      <c r="H61">
        <f>SUM(_xlfn.HSTACK(A:B!E4))</f>
        <v>12</v>
      </c>
      <c r="I61">
        <f>SUM(_xlfn.HSTACK(A:B!F4))</f>
        <v>12</v>
      </c>
      <c r="J61">
        <f>SUM(_xlfn.HSTACK(A:B!G4))</f>
        <v>21</v>
      </c>
      <c r="K61">
        <f>SUM(_xlfn.HSTACK(A:B!H4))</f>
        <v>24</v>
      </c>
      <c r="L61">
        <f>SUM(_xlfn.HSTACK(A:B!I4))</f>
        <v>9</v>
      </c>
      <c r="M61">
        <f>SUM(_xlfn.HSTACK(A:B!J4))</f>
        <v>12</v>
      </c>
      <c r="N61">
        <f>SUM(_xlfn.HSTACK(A:B!K4))</f>
        <v>24</v>
      </c>
    </row>
    <row r="62" spans="3:14" x14ac:dyDescent="0.2">
      <c r="E62">
        <f>SUM(_xlfn.HSTACK(A:B!B5))</f>
        <v>30</v>
      </c>
      <c r="F62">
        <f>SUM(_xlfn.HSTACK(A:B!C5))</f>
        <v>3</v>
      </c>
      <c r="G62">
        <f>SUM(_xlfn.HSTACK(A:B!D5))</f>
        <v>3</v>
      </c>
      <c r="H62">
        <f>SUM(_xlfn.HSTACK(A:B!E5))</f>
        <v>21</v>
      </c>
      <c r="I62">
        <f>SUM(_xlfn.HSTACK(A:B!F5))</f>
        <v>9</v>
      </c>
      <c r="J62">
        <f>SUM(_xlfn.HSTACK(A:B!G5))</f>
        <v>9</v>
      </c>
      <c r="K62">
        <f>SUM(_xlfn.HSTACK(A:B!H5))</f>
        <v>27</v>
      </c>
      <c r="L62">
        <f>SUM(_xlfn.HSTACK(A:B!I5))</f>
        <v>24</v>
      </c>
      <c r="M62">
        <f>SUM(_xlfn.HSTACK(A:B!J5))</f>
        <v>27</v>
      </c>
      <c r="N62">
        <f>SUM(_xlfn.HSTACK(A:B!K5))</f>
        <v>21</v>
      </c>
    </row>
    <row r="63" spans="3:14" x14ac:dyDescent="0.2">
      <c r="E63">
        <f>SUM(_xlfn.HSTACK(A:B!B6))</f>
        <v>30</v>
      </c>
      <c r="F63">
        <f>SUM(_xlfn.HSTACK(A:B!C6))</f>
        <v>27</v>
      </c>
      <c r="G63">
        <f>SUM(_xlfn.HSTACK(A:B!D6))</f>
        <v>9</v>
      </c>
      <c r="H63">
        <f>SUM(_xlfn.HSTACK(A:B!E6))</f>
        <v>9</v>
      </c>
      <c r="I63">
        <f>SUM(_xlfn.HSTACK(A:B!F6))</f>
        <v>9</v>
      </c>
      <c r="J63">
        <f>SUM(_xlfn.HSTACK(A:B!G6))</f>
        <v>24</v>
      </c>
      <c r="K63">
        <f>SUM(_xlfn.HSTACK(A:B!H6))</f>
        <v>0</v>
      </c>
      <c r="L63">
        <f>SUM(_xlfn.HSTACK(A:B!I6))</f>
        <v>27</v>
      </c>
      <c r="M63">
        <f>SUM(_xlfn.HSTACK(A:B!J6))</f>
        <v>3</v>
      </c>
      <c r="N63">
        <f>SUM(_xlfn.HSTACK(A:B!K6))</f>
        <v>21</v>
      </c>
    </row>
    <row r="64" spans="3:14" x14ac:dyDescent="0.2">
      <c r="E64">
        <f>SUM(_xlfn.HSTACK(A:B!B7))</f>
        <v>12</v>
      </c>
      <c r="F64">
        <f>SUM(_xlfn.HSTACK(A:B!C7))</f>
        <v>27</v>
      </c>
      <c r="G64">
        <f>SUM(_xlfn.HSTACK(A:B!D7))</f>
        <v>9</v>
      </c>
      <c r="H64">
        <f>SUM(_xlfn.HSTACK(A:B!E7))</f>
        <v>6</v>
      </c>
      <c r="I64">
        <f>SUM(_xlfn.HSTACK(A:B!F7))</f>
        <v>21</v>
      </c>
      <c r="J64">
        <f>SUM(_xlfn.HSTACK(A:B!G7))</f>
        <v>0</v>
      </c>
      <c r="K64">
        <f>SUM(_xlfn.HSTACK(A:B!H7))</f>
        <v>0</v>
      </c>
      <c r="L64">
        <f>SUM(_xlfn.HSTACK(A:B!I7))</f>
        <v>21</v>
      </c>
      <c r="M64">
        <f>SUM(_xlfn.HSTACK(A:B!J7))</f>
        <v>27</v>
      </c>
      <c r="N64">
        <f>SUM(_xlfn.HSTACK(A:B!K7))</f>
        <v>0</v>
      </c>
    </row>
    <row r="65" spans="3:14" x14ac:dyDescent="0.2">
      <c r="E65">
        <f>SUM(_xlfn.HSTACK(A:B!B8))</f>
        <v>27</v>
      </c>
      <c r="F65">
        <f>SUM(_xlfn.HSTACK(A:B!C8))</f>
        <v>27</v>
      </c>
      <c r="G65">
        <f>SUM(_xlfn.HSTACK(A:B!D8))</f>
        <v>18</v>
      </c>
      <c r="H65">
        <f>SUM(_xlfn.HSTACK(A:B!E8))</f>
        <v>27</v>
      </c>
      <c r="I65">
        <f>SUM(_xlfn.HSTACK(A:B!F8))</f>
        <v>24</v>
      </c>
      <c r="J65">
        <f>SUM(_xlfn.HSTACK(A:B!G8))</f>
        <v>27</v>
      </c>
      <c r="K65">
        <f>SUM(_xlfn.HSTACK(A:B!H8))</f>
        <v>30</v>
      </c>
      <c r="L65">
        <f>SUM(_xlfn.HSTACK(A:B!I8))</f>
        <v>21</v>
      </c>
      <c r="M65">
        <f>SUM(_xlfn.HSTACK(A:B!J8))</f>
        <v>15</v>
      </c>
      <c r="N65">
        <f>SUM(_xlfn.HSTACK(A:B!K8))</f>
        <v>6</v>
      </c>
    </row>
    <row r="66" spans="3:14" x14ac:dyDescent="0.2">
      <c r="E66">
        <f>SUM(_xlfn.HSTACK(A:B!B9))</f>
        <v>12</v>
      </c>
      <c r="F66">
        <f>SUM(_xlfn.HSTACK(A:B!C9))</f>
        <v>27</v>
      </c>
      <c r="G66">
        <f>SUM(_xlfn.HSTACK(A:B!D9))</f>
        <v>21</v>
      </c>
      <c r="H66">
        <f>SUM(_xlfn.HSTACK(A:B!E9))</f>
        <v>6</v>
      </c>
      <c r="I66">
        <f>SUM(_xlfn.HSTACK(A:B!F9))</f>
        <v>24</v>
      </c>
      <c r="J66">
        <f>SUM(_xlfn.HSTACK(A:B!G9))</f>
        <v>0</v>
      </c>
      <c r="K66">
        <f>SUM(_xlfn.HSTACK(A:B!H9))</f>
        <v>21</v>
      </c>
      <c r="L66">
        <f>SUM(_xlfn.HSTACK(A:B!I9))</f>
        <v>21</v>
      </c>
      <c r="M66">
        <f>SUM(_xlfn.HSTACK(A:B!J9))</f>
        <v>9</v>
      </c>
      <c r="N66">
        <f>SUM(_xlfn.HSTACK(A:B!K9))</f>
        <v>0</v>
      </c>
    </row>
    <row r="69" spans="3:14" ht="16.5" x14ac:dyDescent="0.25">
      <c r="C69" s="3" t="s">
        <v>142</v>
      </c>
    </row>
    <row r="70" spans="3:14" x14ac:dyDescent="0.2">
      <c r="E70" s="18" t="s">
        <v>194</v>
      </c>
    </row>
    <row r="71" spans="3:14" x14ac:dyDescent="0.2">
      <c r="E71">
        <f>SUM(_xlfn.VSTACK(A:B!B1))</f>
        <v>3</v>
      </c>
      <c r="F71">
        <f>SUM(_xlfn.VSTACK(A:B!C1))</f>
        <v>27</v>
      </c>
      <c r="G71">
        <f>SUM(_xlfn.VSTACK(A:B!D1))</f>
        <v>9</v>
      </c>
      <c r="H71">
        <f>SUM(_xlfn.VSTACK(A:B!E1))</f>
        <v>15</v>
      </c>
      <c r="I71">
        <f>SUM(_xlfn.VSTACK(A:B!F1))</f>
        <v>9</v>
      </c>
      <c r="J71">
        <f>SUM(_xlfn.VSTACK(A:B!G1))</f>
        <v>27</v>
      </c>
      <c r="K71">
        <f>SUM(_xlfn.VSTACK(A:B!H1))</f>
        <v>9</v>
      </c>
      <c r="L71">
        <f>SUM(_xlfn.VSTACK(A:B!I1))</f>
        <v>9</v>
      </c>
      <c r="M71">
        <f>SUM(_xlfn.VSTACK(A:B!J1))</f>
        <v>9</v>
      </c>
      <c r="N71">
        <f>SUM(_xlfn.VSTACK(A:B!K1))</f>
        <v>27</v>
      </c>
    </row>
    <row r="72" spans="3:14" x14ac:dyDescent="0.2">
      <c r="E72">
        <f>SUM(_xlfn.VSTACK(A:B!B2))</f>
        <v>27</v>
      </c>
      <c r="F72">
        <f>SUM(_xlfn.VSTACK(A:B!C2))</f>
        <v>18</v>
      </c>
      <c r="G72">
        <f>SUM(_xlfn.VSTACK(A:B!D2))</f>
        <v>24</v>
      </c>
      <c r="H72">
        <f>SUM(_xlfn.VSTACK(A:B!E2))</f>
        <v>9</v>
      </c>
      <c r="I72">
        <f>SUM(_xlfn.VSTACK(A:B!F2))</f>
        <v>30</v>
      </c>
      <c r="J72">
        <f>SUM(_xlfn.VSTACK(A:B!G2))</f>
        <v>15</v>
      </c>
      <c r="K72">
        <f>SUM(_xlfn.VSTACK(A:B!H2))</f>
        <v>30</v>
      </c>
      <c r="L72">
        <f>SUM(_xlfn.VSTACK(A:B!I2))</f>
        <v>27</v>
      </c>
      <c r="M72">
        <f>SUM(_xlfn.VSTACK(A:B!J2))</f>
        <v>24</v>
      </c>
      <c r="N72">
        <f>SUM(_xlfn.VSTACK(A:B!K2))</f>
        <v>9</v>
      </c>
    </row>
    <row r="73" spans="3:14" x14ac:dyDescent="0.2">
      <c r="E73">
        <f>SUM(_xlfn.VSTACK(A:B!B3))</f>
        <v>12</v>
      </c>
      <c r="F73">
        <f>SUM(_xlfn.VSTACK(A:B!C3))</f>
        <v>6</v>
      </c>
      <c r="G73">
        <f>SUM(_xlfn.VSTACK(A:B!D3))</f>
        <v>6</v>
      </c>
      <c r="H73">
        <f>SUM(_xlfn.VSTACK(A:B!E3))</f>
        <v>6</v>
      </c>
      <c r="I73">
        <f>SUM(_xlfn.VSTACK(A:B!F3))</f>
        <v>0</v>
      </c>
      <c r="J73">
        <f>SUM(_xlfn.VSTACK(A:B!G3))</f>
        <v>3</v>
      </c>
      <c r="K73">
        <f>SUM(_xlfn.VSTACK(A:B!H3))</f>
        <v>0</v>
      </c>
      <c r="L73">
        <f>SUM(_xlfn.VSTACK(A:B!I3))</f>
        <v>24</v>
      </c>
      <c r="M73">
        <f>SUM(_xlfn.VSTACK(A:B!J3))</f>
        <v>12</v>
      </c>
      <c r="N73">
        <f>SUM(_xlfn.VSTACK(A:B!K3))</f>
        <v>24</v>
      </c>
    </row>
    <row r="74" spans="3:14" x14ac:dyDescent="0.2">
      <c r="E74">
        <f>SUM(_xlfn.VSTACK(A:B!B4))</f>
        <v>12</v>
      </c>
      <c r="F74">
        <f>SUM(_xlfn.VSTACK(A:B!C4))</f>
        <v>6</v>
      </c>
      <c r="G74">
        <f>SUM(_xlfn.VSTACK(A:B!D4))</f>
        <v>18</v>
      </c>
      <c r="H74">
        <f>SUM(_xlfn.VSTACK(A:B!E4))</f>
        <v>12</v>
      </c>
      <c r="I74">
        <f>SUM(_xlfn.VSTACK(A:B!F4))</f>
        <v>12</v>
      </c>
      <c r="J74">
        <f>SUM(_xlfn.VSTACK(A:B!G4))</f>
        <v>21</v>
      </c>
      <c r="K74">
        <f>SUM(_xlfn.VSTACK(A:B!H4))</f>
        <v>24</v>
      </c>
      <c r="L74">
        <f>SUM(_xlfn.VSTACK(A:B!I4))</f>
        <v>9</v>
      </c>
      <c r="M74">
        <f>SUM(_xlfn.VSTACK(A:B!J4))</f>
        <v>12</v>
      </c>
      <c r="N74">
        <f>SUM(_xlfn.VSTACK(A:B!K4))</f>
        <v>24</v>
      </c>
    </row>
    <row r="75" spans="3:14" x14ac:dyDescent="0.2">
      <c r="E75">
        <f>SUM(_xlfn.VSTACK(A:B!B5))</f>
        <v>30</v>
      </c>
      <c r="F75">
        <f>SUM(_xlfn.VSTACK(A:B!C5))</f>
        <v>3</v>
      </c>
      <c r="G75">
        <f>SUM(_xlfn.VSTACK(A:B!D5))</f>
        <v>3</v>
      </c>
      <c r="H75">
        <f>SUM(_xlfn.VSTACK(A:B!E5))</f>
        <v>21</v>
      </c>
      <c r="I75">
        <f>SUM(_xlfn.VSTACK(A:B!F5))</f>
        <v>9</v>
      </c>
      <c r="J75">
        <f>SUM(_xlfn.VSTACK(A:B!G5))</f>
        <v>9</v>
      </c>
      <c r="K75">
        <f>SUM(_xlfn.VSTACK(A:B!H5))</f>
        <v>27</v>
      </c>
      <c r="L75">
        <f>SUM(_xlfn.VSTACK(A:B!I5))</f>
        <v>24</v>
      </c>
      <c r="M75">
        <f>SUM(_xlfn.VSTACK(A:B!J5))</f>
        <v>27</v>
      </c>
      <c r="N75">
        <f>SUM(_xlfn.VSTACK(A:B!K5))</f>
        <v>21</v>
      </c>
    </row>
    <row r="76" spans="3:14" x14ac:dyDescent="0.2">
      <c r="E76">
        <f>SUM(_xlfn.VSTACK(A:B!B6))</f>
        <v>30</v>
      </c>
      <c r="F76">
        <f>SUM(_xlfn.VSTACK(A:B!C6))</f>
        <v>27</v>
      </c>
      <c r="G76">
        <f>SUM(_xlfn.VSTACK(A:B!D6))</f>
        <v>9</v>
      </c>
      <c r="H76">
        <f>SUM(_xlfn.VSTACK(A:B!E6))</f>
        <v>9</v>
      </c>
      <c r="I76">
        <f>SUM(_xlfn.VSTACK(A:B!F6))</f>
        <v>9</v>
      </c>
      <c r="J76">
        <f>SUM(_xlfn.VSTACK(A:B!G6))</f>
        <v>24</v>
      </c>
      <c r="K76">
        <f>SUM(_xlfn.VSTACK(A:B!H6))</f>
        <v>0</v>
      </c>
      <c r="L76">
        <f>SUM(_xlfn.VSTACK(A:B!I6))</f>
        <v>27</v>
      </c>
      <c r="M76">
        <f>SUM(_xlfn.VSTACK(A:B!J6))</f>
        <v>3</v>
      </c>
      <c r="N76">
        <f>SUM(_xlfn.VSTACK(A:B!K6))</f>
        <v>21</v>
      </c>
    </row>
    <row r="77" spans="3:14" x14ac:dyDescent="0.2">
      <c r="E77">
        <f>SUM(_xlfn.VSTACK(A:B!B7))</f>
        <v>12</v>
      </c>
      <c r="F77">
        <f>SUM(_xlfn.VSTACK(A:B!C7))</f>
        <v>27</v>
      </c>
      <c r="G77">
        <f>SUM(_xlfn.VSTACK(A:B!D7))</f>
        <v>9</v>
      </c>
      <c r="H77">
        <f>SUM(_xlfn.VSTACK(A:B!E7))</f>
        <v>6</v>
      </c>
      <c r="I77">
        <f>SUM(_xlfn.VSTACK(A:B!F7))</f>
        <v>21</v>
      </c>
      <c r="J77">
        <f>SUM(_xlfn.VSTACK(A:B!G7))</f>
        <v>0</v>
      </c>
      <c r="K77">
        <f>SUM(_xlfn.VSTACK(A:B!H7))</f>
        <v>0</v>
      </c>
      <c r="L77">
        <f>SUM(_xlfn.VSTACK(A:B!I7))</f>
        <v>21</v>
      </c>
      <c r="M77">
        <f>SUM(_xlfn.VSTACK(A:B!J7))</f>
        <v>27</v>
      </c>
      <c r="N77">
        <f>SUM(_xlfn.VSTACK(A:B!K7))</f>
        <v>0</v>
      </c>
    </row>
    <row r="78" spans="3:14" x14ac:dyDescent="0.2">
      <c r="E78">
        <f>SUM(_xlfn.VSTACK(A:B!B8))</f>
        <v>27</v>
      </c>
      <c r="F78">
        <f>SUM(_xlfn.VSTACK(A:B!C8))</f>
        <v>27</v>
      </c>
      <c r="G78">
        <f>SUM(_xlfn.VSTACK(A:B!D8))</f>
        <v>18</v>
      </c>
      <c r="H78">
        <f>SUM(_xlfn.VSTACK(A:B!E8))</f>
        <v>27</v>
      </c>
      <c r="I78">
        <f>SUM(_xlfn.VSTACK(A:B!F8))</f>
        <v>24</v>
      </c>
      <c r="J78">
        <f>SUM(_xlfn.VSTACK(A:B!G8))</f>
        <v>27</v>
      </c>
      <c r="K78">
        <f>SUM(_xlfn.VSTACK(A:B!H8))</f>
        <v>30</v>
      </c>
      <c r="L78">
        <f>SUM(_xlfn.VSTACK(A:B!I8))</f>
        <v>21</v>
      </c>
      <c r="M78">
        <f>SUM(_xlfn.VSTACK(A:B!J8))</f>
        <v>15</v>
      </c>
      <c r="N78">
        <f>SUM(_xlfn.VSTACK(A:B!K8))</f>
        <v>6</v>
      </c>
    </row>
    <row r="79" spans="3:14" x14ac:dyDescent="0.2">
      <c r="E79">
        <f>SUM(_xlfn.VSTACK(A:B!B9))</f>
        <v>12</v>
      </c>
      <c r="F79">
        <f>SUM(_xlfn.VSTACK(A:B!C9))</f>
        <v>27</v>
      </c>
      <c r="G79">
        <f>SUM(_xlfn.VSTACK(A:B!D9))</f>
        <v>21</v>
      </c>
      <c r="H79">
        <f>SUM(_xlfn.VSTACK(A:B!E9))</f>
        <v>6</v>
      </c>
      <c r="I79">
        <f>SUM(_xlfn.VSTACK(A:B!F9))</f>
        <v>24</v>
      </c>
      <c r="J79">
        <f>SUM(_xlfn.VSTACK(A:B!G9))</f>
        <v>0</v>
      </c>
      <c r="K79">
        <f>SUM(_xlfn.VSTACK(A:B!H9))</f>
        <v>21</v>
      </c>
      <c r="L79">
        <f>SUM(_xlfn.VSTACK(A:B!I9))</f>
        <v>21</v>
      </c>
      <c r="M79">
        <f>SUM(_xlfn.VSTACK(A:B!J9))</f>
        <v>9</v>
      </c>
      <c r="N79">
        <f>SUM(_xlfn.VSTACK(A:B!K9))</f>
        <v>0</v>
      </c>
    </row>
    <row r="82" spans="3:14" ht="16.5" x14ac:dyDescent="0.25">
      <c r="C82" s="3" t="s">
        <v>143</v>
      </c>
    </row>
    <row r="83" spans="3:14" x14ac:dyDescent="0.2">
      <c r="E83" s="18" t="s">
        <v>194</v>
      </c>
    </row>
    <row r="84" spans="3:14" x14ac:dyDescent="0.2">
      <c r="E84" t="str">
        <f>_xlfn.TEXTJOIN(",",TRUE,A:B!B1)</f>
        <v>0,1,1,1,0</v>
      </c>
      <c r="F84" t="str">
        <f>_xlfn.TEXTJOIN(",",,A:B!C1)</f>
        <v>0,9,9,9,0</v>
      </c>
      <c r="G84" t="str">
        <f>_xlfn.TEXTJOIN(",",,A:B!D1)</f>
        <v>0,3,3,3,0</v>
      </c>
      <c r="H84" t="str">
        <f>_xlfn.TEXTJOIN(",",,A:B!E1)</f>
        <v>0,5,5,5,0</v>
      </c>
      <c r="I84" t="str">
        <f>_xlfn.TEXTJOIN(",",,A:B!F1)</f>
        <v>0,3,3,3,0</v>
      </c>
      <c r="J84" t="str">
        <f>_xlfn.TEXTJOIN(",",,A:B!G1)</f>
        <v>0,9,9,9,0</v>
      </c>
      <c r="K84" t="str">
        <f>_xlfn.TEXTJOIN(",",,A:B!H1)</f>
        <v>0,3,3,3,0</v>
      </c>
      <c r="L84" t="str">
        <f>_xlfn.TEXTJOIN(",",,A:B!I1)</f>
        <v>0,3,3,3,0</v>
      </c>
      <c r="M84" t="str">
        <f>_xlfn.TEXTJOIN(",",,A:B!J1)</f>
        <v>0,3,3,3,0</v>
      </c>
      <c r="N84" t="str">
        <f>_xlfn.TEXTJOIN(",",,A:B!K1)</f>
        <v>0,9,9,9,0</v>
      </c>
    </row>
    <row r="85" spans="3:14" x14ac:dyDescent="0.2">
      <c r="E85" t="str">
        <f>_xlfn.TEXTJOIN(",",,A:B!B2)</f>
        <v>0,9,9,9,0</v>
      </c>
      <c r="F85" t="str">
        <f>_xlfn.TEXTJOIN(",",,A:B!C2)</f>
        <v>0,6,6,6,0</v>
      </c>
      <c r="G85" t="str">
        <f>_xlfn.TEXTJOIN(",",,A:B!D2)</f>
        <v>0,8,8,8,0</v>
      </c>
      <c r="H85" t="str">
        <f>_xlfn.TEXTJOIN(",",,A:B!E2)</f>
        <v>0,3,3,3,0</v>
      </c>
      <c r="I85" t="str">
        <f>_xlfn.TEXTJOIN(",",,A:B!F2)</f>
        <v>0,10,10,10,0</v>
      </c>
      <c r="J85" t="str">
        <f>_xlfn.TEXTJOIN(",",,A:B!G2)</f>
        <v>0,5,5,5,0</v>
      </c>
      <c r="K85" t="str">
        <f>_xlfn.TEXTJOIN(",",,A:B!H2)</f>
        <v>0,10,10,10,0</v>
      </c>
      <c r="L85" t="str">
        <f>_xlfn.TEXTJOIN(",",,A:B!I2)</f>
        <v>0,9,9,9,0</v>
      </c>
      <c r="M85" t="str">
        <f>_xlfn.TEXTJOIN(",",,A:B!J2)</f>
        <v>0,8,8,8,0</v>
      </c>
      <c r="N85" t="str">
        <f>_xlfn.TEXTJOIN(",",,A:B!K2)</f>
        <v>0,3,3,3,0</v>
      </c>
    </row>
    <row r="86" spans="3:14" x14ac:dyDescent="0.2">
      <c r="E86" t="str">
        <f>_xlfn.TEXTJOIN(",",,A:B!B3)</f>
        <v>0,4,4,4,0</v>
      </c>
      <c r="F86" t="str">
        <f>_xlfn.TEXTJOIN(",",,A:B!C3)</f>
        <v>0,2,2,2,0</v>
      </c>
      <c r="G86" t="str">
        <f>_xlfn.TEXTJOIN(",",,A:B!D3)</f>
        <v>0,2,2,2,0</v>
      </c>
      <c r="H86" t="str">
        <f>_xlfn.TEXTJOIN(",",,A:B!E3)</f>
        <v>0,2,2,2,0</v>
      </c>
      <c r="I86" t="str">
        <f>_xlfn.TEXTJOIN(",",,A:B!F3)</f>
        <v>0,0,0,0,0</v>
      </c>
      <c r="J86" t="str">
        <f>_xlfn.TEXTJOIN(",",,A:B!G3)</f>
        <v>0,1,1,1,0</v>
      </c>
      <c r="K86" t="str">
        <f>_xlfn.TEXTJOIN(",",,A:B!H3)</f>
        <v>0,0,0,0,0</v>
      </c>
      <c r="L86" t="str">
        <f>_xlfn.TEXTJOIN(",",,A:B!I3)</f>
        <v>0,8,8,8,0</v>
      </c>
      <c r="M86" t="str">
        <f>_xlfn.TEXTJOIN(",",,A:B!J3)</f>
        <v>0,4,4,4,0</v>
      </c>
      <c r="N86" t="str">
        <f>_xlfn.TEXTJOIN(",",,A:B!K3)</f>
        <v>0,8,8,8,0</v>
      </c>
    </row>
    <row r="87" spans="3:14" x14ac:dyDescent="0.2">
      <c r="E87" t="str">
        <f>_xlfn.TEXTJOIN(",",,A:B!B4)</f>
        <v>0,4,4,4,0</v>
      </c>
      <c r="F87" t="str">
        <f>_xlfn.TEXTJOIN(",",,A:B!C4)</f>
        <v>0,2,2,2,0</v>
      </c>
      <c r="G87" t="str">
        <f>_xlfn.TEXTJOIN(",",,A:B!D4)</f>
        <v>0,6,6,6,0</v>
      </c>
      <c r="H87" t="str">
        <f>_xlfn.TEXTJOIN(",",,A:B!E4)</f>
        <v>0,4,4,4,0</v>
      </c>
      <c r="I87" t="str">
        <f>_xlfn.TEXTJOIN(",",,A:B!F4)</f>
        <v>0,4,4,4,0</v>
      </c>
      <c r="J87" t="str">
        <f>_xlfn.TEXTJOIN(",",,A:B!G4)</f>
        <v>0,7,7,7,0</v>
      </c>
      <c r="K87" t="str">
        <f>_xlfn.TEXTJOIN(",",,A:B!H4)</f>
        <v>0,8,8,8,0</v>
      </c>
      <c r="L87" t="str">
        <f>_xlfn.TEXTJOIN(",",,A:B!I4)</f>
        <v>0,3,3,3,0</v>
      </c>
      <c r="M87" t="str">
        <f>_xlfn.TEXTJOIN(",",,A:B!J4)</f>
        <v>0,4,4,4,0</v>
      </c>
      <c r="N87" t="str">
        <f>_xlfn.TEXTJOIN(",",,A:B!K4)</f>
        <v>0,8,8,8,0</v>
      </c>
    </row>
    <row r="88" spans="3:14" x14ac:dyDescent="0.2">
      <c r="E88" t="str">
        <f>_xlfn.TEXTJOIN(",",,A:B!B5)</f>
        <v>0,10,10,10,0</v>
      </c>
      <c r="F88" t="str">
        <f>_xlfn.TEXTJOIN(",",,A:B!C5)</f>
        <v>0,1,1,1,0</v>
      </c>
      <c r="G88" t="str">
        <f>_xlfn.TEXTJOIN(",",,A:B!D5)</f>
        <v>0,1,1,1,0</v>
      </c>
      <c r="H88" t="str">
        <f>_xlfn.TEXTJOIN(",",,A:B!E5)</f>
        <v>0,7,7,7,0</v>
      </c>
      <c r="I88" t="str">
        <f>_xlfn.TEXTJOIN(",",,A:B!F5)</f>
        <v>0,3,3,3,0</v>
      </c>
      <c r="J88" t="str">
        <f>_xlfn.TEXTJOIN(",",,A:B!G5)</f>
        <v>0,3,3,3,0</v>
      </c>
      <c r="K88" t="str">
        <f>_xlfn.TEXTJOIN(",",,A:B!H5)</f>
        <v>0,9,9,9,0</v>
      </c>
      <c r="L88" t="str">
        <f>_xlfn.TEXTJOIN(",",,A:B!I5)</f>
        <v>0,8,8,8,0</v>
      </c>
      <c r="M88" t="str">
        <f>_xlfn.TEXTJOIN(",",,A:B!J5)</f>
        <v>0,9,9,9,0</v>
      </c>
      <c r="N88" t="str">
        <f>_xlfn.TEXTJOIN(",",,A:B!K5)</f>
        <v>0,7,7,7,0</v>
      </c>
    </row>
    <row r="89" spans="3:14" x14ac:dyDescent="0.2">
      <c r="E89" t="str">
        <f>_xlfn.TEXTJOIN(",",,A:B!B6)</f>
        <v>0,10,10,10,0</v>
      </c>
      <c r="F89" t="str">
        <f>_xlfn.TEXTJOIN(",",,A:B!C6)</f>
        <v>0,9,9,9,0</v>
      </c>
      <c r="G89" t="str">
        <f>_xlfn.TEXTJOIN(",",,A:B!D6)</f>
        <v>0,3,3,3,0</v>
      </c>
      <c r="H89" t="str">
        <f>_xlfn.TEXTJOIN(",",,A:B!E6)</f>
        <v>0,3,3,3,0</v>
      </c>
      <c r="I89" t="str">
        <f>_xlfn.TEXTJOIN(",",,A:B!F6)</f>
        <v>0,3,3,3,0</v>
      </c>
      <c r="J89" t="str">
        <f>_xlfn.TEXTJOIN(",",,A:B!G6)</f>
        <v>0,8,8,8,0</v>
      </c>
      <c r="K89" t="str">
        <f>_xlfn.TEXTJOIN(",",,A:B!H6)</f>
        <v>0,0,0,0,0</v>
      </c>
      <c r="L89" t="str">
        <f>_xlfn.TEXTJOIN(",",,A:B!I6)</f>
        <v>0,9,9,9,0</v>
      </c>
      <c r="M89" t="str">
        <f>_xlfn.TEXTJOIN(",",,A:B!J6)</f>
        <v>0,1,1,1,0</v>
      </c>
      <c r="N89" t="str">
        <f>_xlfn.TEXTJOIN(",",,A:B!K6)</f>
        <v>0,7,7,7,0</v>
      </c>
    </row>
    <row r="90" spans="3:14" x14ac:dyDescent="0.2">
      <c r="E90" t="str">
        <f>_xlfn.TEXTJOIN(",",,A:B!B7)</f>
        <v>0,4,4,4,0</v>
      </c>
      <c r="F90" t="str">
        <f>_xlfn.TEXTJOIN(",",,A:B!C7)</f>
        <v>0,9,9,9,0</v>
      </c>
      <c r="G90" t="str">
        <f>_xlfn.TEXTJOIN(",",,A:B!D7)</f>
        <v>0,3,3,3,0</v>
      </c>
      <c r="H90" t="str">
        <f>_xlfn.TEXTJOIN(",",,A:B!E7)</f>
        <v>0,2,2,2,0</v>
      </c>
      <c r="I90" t="str">
        <f>_xlfn.TEXTJOIN(",",,A:B!F7)</f>
        <v>0,7,7,7,0</v>
      </c>
      <c r="J90" t="str">
        <f>_xlfn.TEXTJOIN(",",,A:B!G7)</f>
        <v>0,0,0,0,0</v>
      </c>
      <c r="K90" t="str">
        <f>_xlfn.TEXTJOIN(",",,A:B!H7)</f>
        <v>0,0,0,0,0</v>
      </c>
      <c r="L90" t="str">
        <f>_xlfn.TEXTJOIN(",",,A:B!I7)</f>
        <v>0,7,7,7,0</v>
      </c>
      <c r="M90" t="str">
        <f>_xlfn.TEXTJOIN(",",,A:B!J7)</f>
        <v>0,9,9,9,0</v>
      </c>
      <c r="N90" t="str">
        <f>_xlfn.TEXTJOIN(",",,A:B!K7)</f>
        <v>0,0,0,0,0</v>
      </c>
    </row>
    <row r="91" spans="3:14" x14ac:dyDescent="0.2">
      <c r="E91" t="str">
        <f>_xlfn.TEXTJOIN(",",,A:B!B8)</f>
        <v>0,9,9,9,0</v>
      </c>
      <c r="F91" t="str">
        <f>_xlfn.TEXTJOIN(",",,A:B!C8)</f>
        <v>0,9,9,9,0</v>
      </c>
      <c r="G91" t="str">
        <f>_xlfn.TEXTJOIN(",",,A:B!D8)</f>
        <v>0,6,6,6,0</v>
      </c>
      <c r="H91" t="str">
        <f>_xlfn.TEXTJOIN(",",,A:B!E8)</f>
        <v>0,9,9,9,0</v>
      </c>
      <c r="I91" t="str">
        <f>_xlfn.TEXTJOIN(",",,A:B!F8)</f>
        <v>0,8,8,8,0</v>
      </c>
      <c r="J91" t="str">
        <f>_xlfn.TEXTJOIN(",",,A:B!G8)</f>
        <v>0,9,9,9,0</v>
      </c>
      <c r="K91" t="str">
        <f>_xlfn.TEXTJOIN(",",,A:B!H8)</f>
        <v>0,10,10,10,0</v>
      </c>
      <c r="L91" t="str">
        <f>_xlfn.TEXTJOIN(",",,A:B!I8)</f>
        <v>0,7,7,7,0</v>
      </c>
      <c r="M91" t="str">
        <f>_xlfn.TEXTJOIN(",",,A:B!J8)</f>
        <v>0,5,5,5,0</v>
      </c>
      <c r="N91" t="str">
        <f>_xlfn.TEXTJOIN(",",,A:B!K8)</f>
        <v>0,2,2,2,0</v>
      </c>
    </row>
    <row r="92" spans="3:14" x14ac:dyDescent="0.2">
      <c r="E92" t="str">
        <f>_xlfn.TEXTJOIN(",",,A:B!B9)</f>
        <v>0,4,4,4,0</v>
      </c>
      <c r="F92" t="str">
        <f>_xlfn.TEXTJOIN(",",,A:B!C9)</f>
        <v>0,9,9,9,0</v>
      </c>
      <c r="G92" t="str">
        <f>_xlfn.TEXTJOIN(",",,A:B!D9)</f>
        <v>0,7,7,7,0</v>
      </c>
      <c r="H92" t="str">
        <f>_xlfn.TEXTJOIN(",",,A:B!E9)</f>
        <v>0,2,2,2,0</v>
      </c>
      <c r="I92" t="str">
        <f>_xlfn.TEXTJOIN(",",,A:B!F9)</f>
        <v>0,8,8,8,0</v>
      </c>
      <c r="J92" t="str">
        <f>_xlfn.TEXTJOIN(",",,A:B!G9)</f>
        <v>0,0,0,0,0</v>
      </c>
      <c r="K92" t="str">
        <f>_xlfn.TEXTJOIN(",",,A:B!H9)</f>
        <v>0,7,7,7,0</v>
      </c>
      <c r="L92" t="str">
        <f>_xlfn.TEXTJOIN(",",,A:B!I9)</f>
        <v>0,7,7,7,0</v>
      </c>
      <c r="M92" t="str">
        <f>_xlfn.TEXTJOIN(",",,A:B!J9)</f>
        <v>0,3,3,3,0</v>
      </c>
      <c r="N92" t="str">
        <f>_xlfn.TEXTJOIN(",",,A:B!K9)</f>
        <v>0,0,0,0,0</v>
      </c>
    </row>
    <row r="95" spans="3:14" ht="16.5" x14ac:dyDescent="0.25">
      <c r="C95" s="3" t="s">
        <v>188</v>
      </c>
    </row>
    <row r="97" spans="4:14" ht="15" x14ac:dyDescent="0.25">
      <c r="D97" s="4" t="s">
        <v>192</v>
      </c>
    </row>
    <row r="99" spans="4:14" x14ac:dyDescent="0.2">
      <c r="E99" s="19">
        <v>1</v>
      </c>
    </row>
    <row r="100" spans="4:14" x14ac:dyDescent="0.2">
      <c r="E100" s="19">
        <v>2</v>
      </c>
    </row>
    <row r="101" spans="4:14" x14ac:dyDescent="0.2">
      <c r="E101" s="19">
        <v>3</v>
      </c>
    </row>
    <row r="103" spans="4:14" ht="15" x14ac:dyDescent="0.25">
      <c r="D103" s="4" t="s">
        <v>195</v>
      </c>
    </row>
    <row r="104" spans="4:14" x14ac:dyDescent="0.2">
      <c r="E104" s="18" t="s">
        <v>193</v>
      </c>
    </row>
    <row r="105" spans="4:14" x14ac:dyDescent="0.2">
      <c r="D105" t="s">
        <v>200</v>
      </c>
      <c r="E105" s="57" cm="1">
        <f t="array" aca="1" ref="E105" ca="1">SUM(SUMIFS(INDIRECT(LS_Sheet_Name&amp;"!C[-3]",FALSE),INDIRECT(LS_Sheet_Name&amp;"!C1",FALSE),$D105))</f>
        <v>55</v>
      </c>
      <c r="F105" s="57" cm="1">
        <f t="array" aca="1" ref="F105" ca="1">SUM(SUMIFS(INDIRECT(LS_Sheet_Name&amp;"!C[-3]",FALSE),INDIRECT(LS_Sheet_Name&amp;"!C1",FALSE),$D105))</f>
        <v>70</v>
      </c>
      <c r="G105" s="57" cm="1">
        <f t="array" aca="1" ref="G105" ca="1">SUM(SUMIFS(INDIRECT(LS_Sheet_Name&amp;"!C[-3]",FALSE),INDIRECT(LS_Sheet_Name&amp;"!C1",FALSE),$D105))</f>
        <v>45</v>
      </c>
      <c r="H105" s="57" cm="1">
        <f t="array" aca="1" ref="H105" ca="1">SUM(SUMIFS(INDIRECT(LS_Sheet_Name&amp;"!C[-3]",FALSE),INDIRECT(LS_Sheet_Name&amp;"!C1",FALSE),$D105))</f>
        <v>36</v>
      </c>
      <c r="I105" s="57" cm="1">
        <f t="array" aca="1" ref="I105" ca="1">SUM(SUMIFS(INDIRECT(LS_Sheet_Name&amp;"!C[-3]",FALSE),INDIRECT(LS_Sheet_Name&amp;"!C1",FALSE),$D105))</f>
        <v>52</v>
      </c>
      <c r="J105" s="57" cm="1">
        <f t="array" aca="1" ref="J105" ca="1">SUM(SUMIFS(INDIRECT(LS_Sheet_Name&amp;"!C[-3]",FALSE),INDIRECT(LS_Sheet_Name&amp;"!C1",FALSE),$D105))</f>
        <v>47</v>
      </c>
      <c r="K105" s="57" cm="1">
        <f t="array" aca="1" ref="K105" ca="1">SUM(SUMIFS(INDIRECT(LS_Sheet_Name&amp;"!C[-3]",FALSE),INDIRECT(LS_Sheet_Name&amp;"!C1",FALSE),$D105))</f>
        <v>43</v>
      </c>
      <c r="L105" s="57" cm="1">
        <f t="array" aca="1" ref="L105" ca="1">SUM(SUMIFS(INDIRECT(LS_Sheet_Name&amp;"!C[-3]",FALSE),INDIRECT(LS_Sheet_Name&amp;"!C1",FALSE),$D105))</f>
        <v>70</v>
      </c>
      <c r="M105" s="57" cm="1">
        <f t="array" aca="1" ref="M105" ca="1">SUM(SUMIFS(INDIRECT(LS_Sheet_Name&amp;"!C[-3]",FALSE),INDIRECT(LS_Sheet_Name&amp;"!C1",FALSE),$D105))</f>
        <v>48</v>
      </c>
      <c r="N105" s="57" cm="1">
        <f t="array" aca="1" ref="N105" ca="1">SUM(SUMIFS(INDIRECT(LS_Sheet_Name&amp;"!C[-3]",FALSE),INDIRECT(LS_Sheet_Name&amp;"!C1",FALSE),$D105))</f>
        <v>49</v>
      </c>
    </row>
    <row r="106" spans="4:14" x14ac:dyDescent="0.2">
      <c r="D106" t="s">
        <v>201</v>
      </c>
      <c r="E106" s="57" cm="1">
        <f t="array" aca="1" ref="E106" ca="1">SUM(SUMIFS(INDIRECT(LS_Sheet_Name&amp;"!C[-3]",FALSE),INDIRECT(LS_Sheet_Name&amp;"!C1",FALSE),$D106))</f>
        <v>62</v>
      </c>
      <c r="F106" s="57" cm="1">
        <f t="array" aca="1" ref="F106" ca="1">SUM(SUMIFS(INDIRECT(LS_Sheet_Name&amp;"!C[-3]",FALSE),INDIRECT(LS_Sheet_Name&amp;"!C1",FALSE),$D106))</f>
        <v>27</v>
      </c>
      <c r="G106" s="57" cm="1">
        <f t="array" aca="1" ref="G106" ca="1">SUM(SUMIFS(INDIRECT(LS_Sheet_Name&amp;"!C[-3]",FALSE),INDIRECT(LS_Sheet_Name&amp;"!C1",FALSE),$D106))</f>
        <v>27</v>
      </c>
      <c r="H106" s="57" cm="1">
        <f t="array" aca="1" ref="H106" ca="1">SUM(SUMIFS(INDIRECT(LS_Sheet_Name&amp;"!C[-3]",FALSE),INDIRECT(LS_Sheet_Name&amp;"!C1",FALSE),$D106))</f>
        <v>39</v>
      </c>
      <c r="I106" s="57" cm="1">
        <f t="array" aca="1" ref="I106" ca="1">SUM(SUMIFS(INDIRECT(LS_Sheet_Name&amp;"!C[-3]",FALSE),INDIRECT(LS_Sheet_Name&amp;"!C1",FALSE),$D106))</f>
        <v>27</v>
      </c>
      <c r="J106" s="57" cm="1">
        <f t="array" aca="1" ref="J106" ca="1">SUM(SUMIFS(INDIRECT(LS_Sheet_Name&amp;"!C[-3]",FALSE),INDIRECT(LS_Sheet_Name&amp;"!C1",FALSE),$D106))</f>
        <v>46</v>
      </c>
      <c r="K106" s="57" cm="1">
        <f t="array" aca="1" ref="K106" ca="1">SUM(SUMIFS(INDIRECT(LS_Sheet_Name&amp;"!C[-3]",FALSE),INDIRECT(LS_Sheet_Name&amp;"!C1",FALSE),$D106))</f>
        <v>51</v>
      </c>
      <c r="L106" s="57" cm="1">
        <f t="array" aca="1" ref="L106" ca="1">SUM(SUMIFS(INDIRECT(LS_Sheet_Name&amp;"!C[-3]",FALSE),INDIRECT(LS_Sheet_Name&amp;"!C1",FALSE),$D106))</f>
        <v>51</v>
      </c>
      <c r="M106" s="57" cm="1">
        <f t="array" aca="1" ref="M106" ca="1">SUM(SUMIFS(INDIRECT(LS_Sheet_Name&amp;"!C[-3]",FALSE),INDIRECT(LS_Sheet_Name&amp;"!C1",FALSE),$D106))</f>
        <v>41</v>
      </c>
      <c r="N106" s="57" cm="1">
        <f t="array" aca="1" ref="N106" ca="1">SUM(SUMIFS(INDIRECT(LS_Sheet_Name&amp;"!C[-3]",FALSE),INDIRECT(LS_Sheet_Name&amp;"!C1",FALSE),$D106))</f>
        <v>59</v>
      </c>
    </row>
    <row r="107" spans="4:14" x14ac:dyDescent="0.2">
      <c r="D107" t="s">
        <v>202</v>
      </c>
      <c r="E107" s="57" cm="1">
        <f t="array" aca="1" ref="E107" ca="1">SUM(SUMIFS(INDIRECT(LS_Sheet_Name&amp;"!C[-3]",FALSE),INDIRECT(LS_Sheet_Name&amp;"!C1",FALSE),$D107))</f>
        <v>48</v>
      </c>
      <c r="F107" s="57" cm="1">
        <f t="array" aca="1" ref="F107" ca="1">SUM(SUMIFS(INDIRECT(LS_Sheet_Name&amp;"!C[-3]",FALSE),INDIRECT(LS_Sheet_Name&amp;"!C1",FALSE),$D107))</f>
        <v>71</v>
      </c>
      <c r="G107" s="57" cm="1">
        <f t="array" aca="1" ref="G107" ca="1">SUM(SUMIFS(INDIRECT(LS_Sheet_Name&amp;"!C[-3]",FALSE),INDIRECT(LS_Sheet_Name&amp;"!C1",FALSE),$D107))</f>
        <v>45</v>
      </c>
      <c r="H107" s="57" cm="1">
        <f t="array" aca="1" ref="H107" ca="1">SUM(SUMIFS(INDIRECT(LS_Sheet_Name&amp;"!C[-3]",FALSE),INDIRECT(LS_Sheet_Name&amp;"!C1",FALSE),$D107))</f>
        <v>36</v>
      </c>
      <c r="I107" s="57" cm="1">
        <f t="array" aca="1" ref="I107" ca="1">SUM(SUMIFS(INDIRECT(LS_Sheet_Name&amp;"!C[-3]",FALSE),INDIRECT(LS_Sheet_Name&amp;"!C1",FALSE),$D107))</f>
        <v>59</v>
      </c>
      <c r="J107" s="57" cm="1">
        <f t="array" aca="1" ref="J107" ca="1">SUM(SUMIFS(INDIRECT(LS_Sheet_Name&amp;"!C[-3]",FALSE),INDIRECT(LS_Sheet_Name&amp;"!C1",FALSE),$D107))</f>
        <v>33</v>
      </c>
      <c r="K107" s="57" cm="1">
        <f t="array" aca="1" ref="K107" ca="1">SUM(SUMIFS(INDIRECT(LS_Sheet_Name&amp;"!C[-3]",FALSE),INDIRECT(LS_Sheet_Name&amp;"!C1",FALSE),$D107))</f>
        <v>47</v>
      </c>
      <c r="L107" s="57" cm="1">
        <f t="array" aca="1" ref="L107" ca="1">SUM(SUMIFS(INDIRECT(LS_Sheet_Name&amp;"!C[-3]",FALSE),INDIRECT(LS_Sheet_Name&amp;"!C1",FALSE),$D107))</f>
        <v>62</v>
      </c>
      <c r="M107" s="57" cm="1">
        <f t="array" aca="1" ref="M107" ca="1">SUM(SUMIFS(INDIRECT(LS_Sheet_Name&amp;"!C[-3]",FALSE),INDIRECT(LS_Sheet_Name&amp;"!C1",FALSE),$D107))</f>
        <v>49</v>
      </c>
      <c r="N107" s="57" cm="1">
        <f t="array" aca="1" ref="N107" ca="1">SUM(SUMIFS(INDIRECT(LS_Sheet_Name&amp;"!C[-3]",FALSE),INDIRECT(LS_Sheet_Name&amp;"!C1",FALSE),$D107))</f>
        <v>24</v>
      </c>
    </row>
    <row r="110" spans="4:14" ht="15" x14ac:dyDescent="0.25">
      <c r="D110" s="4" t="s">
        <v>196</v>
      </c>
    </row>
    <row r="111" spans="4:14" x14ac:dyDescent="0.2">
      <c r="E111" s="18" t="s">
        <v>193</v>
      </c>
    </row>
    <row r="112" spans="4:14" x14ac:dyDescent="0.2">
      <c r="D112" t="s">
        <v>200</v>
      </c>
      <c r="E112" cm="1">
        <f t="array" aca="1" ref="E112" ca="1">SUMPRODUCT(SUMIFS(INDIRECT(LS_Sheet_Name&amp;"!C[-3]",FALSE),INDIRECT(LS_Sheet_Name&amp;"!C1",FALSE),$D112))</f>
        <v>55</v>
      </c>
      <c r="F112" cm="1">
        <f t="array" aca="1" ref="F112" ca="1">SUMPRODUCT(SUMIFS(INDIRECT(LS_Sheet_Name&amp;"!C[-3]",FALSE),INDIRECT(LS_Sheet_Name&amp;"!C1",FALSE),$D112))</f>
        <v>70</v>
      </c>
      <c r="G112" cm="1">
        <f t="array" aca="1" ref="G112" ca="1">SUMPRODUCT(SUMIFS(INDIRECT(LS_Sheet_Name&amp;"!C[-3]",FALSE),INDIRECT(LS_Sheet_Name&amp;"!C1",FALSE),$D112))</f>
        <v>45</v>
      </c>
      <c r="H112" cm="1">
        <f t="array" aca="1" ref="H112" ca="1">SUMPRODUCT(SUMIFS(INDIRECT(LS_Sheet_Name&amp;"!C[-3]",FALSE),INDIRECT(LS_Sheet_Name&amp;"!C1",FALSE),$D112))</f>
        <v>36</v>
      </c>
      <c r="I112" cm="1">
        <f t="array" aca="1" ref="I112" ca="1">SUMPRODUCT(SUMIFS(INDIRECT(LS_Sheet_Name&amp;"!C[-3]",FALSE),INDIRECT(LS_Sheet_Name&amp;"!C1",FALSE),$D112))</f>
        <v>52</v>
      </c>
      <c r="J112" cm="1">
        <f t="array" aca="1" ref="J112" ca="1">SUMPRODUCT(SUMIFS(INDIRECT(LS_Sheet_Name&amp;"!C[-3]",FALSE),INDIRECT(LS_Sheet_Name&amp;"!C1",FALSE),$D112))</f>
        <v>47</v>
      </c>
      <c r="K112" cm="1">
        <f t="array" aca="1" ref="K112" ca="1">SUMPRODUCT(SUMIFS(INDIRECT(LS_Sheet_Name&amp;"!C[-3]",FALSE),INDIRECT(LS_Sheet_Name&amp;"!C1",FALSE),$D112))</f>
        <v>43</v>
      </c>
      <c r="L112" cm="1">
        <f t="array" aca="1" ref="L112" ca="1">SUMPRODUCT(SUMIFS(INDIRECT(LS_Sheet_Name&amp;"!C[-3]",FALSE),INDIRECT(LS_Sheet_Name&amp;"!C1",FALSE),$D112))</f>
        <v>70</v>
      </c>
      <c r="M112" cm="1">
        <f t="array" aca="1" ref="M112" ca="1">SUMPRODUCT(SUMIFS(INDIRECT(LS_Sheet_Name&amp;"!C[-3]",FALSE),INDIRECT(LS_Sheet_Name&amp;"!C1",FALSE),$D112))</f>
        <v>48</v>
      </c>
      <c r="N112" cm="1">
        <f t="array" aca="1" ref="N112" ca="1">SUMPRODUCT(SUMIFS(INDIRECT(LS_Sheet_Name&amp;"!C[-3]",FALSE),INDIRECT(LS_Sheet_Name&amp;"!C1",FALSE),$D112))</f>
        <v>49</v>
      </c>
    </row>
    <row r="113" spans="3:14" x14ac:dyDescent="0.2">
      <c r="D113" t="s">
        <v>201</v>
      </c>
      <c r="E113" cm="1">
        <f t="array" aca="1" ref="E113" ca="1">SUMPRODUCT(SUMIFS(INDIRECT(LS_Sheet_Name&amp;"!C[-3]",FALSE),INDIRECT(LS_Sheet_Name&amp;"!C1",FALSE),$D113))</f>
        <v>62</v>
      </c>
      <c r="F113" cm="1">
        <f t="array" aca="1" ref="F113" ca="1">SUMPRODUCT(SUMIFS(INDIRECT(LS_Sheet_Name&amp;"!C[-3]",FALSE),INDIRECT(LS_Sheet_Name&amp;"!C1",FALSE),$D113))</f>
        <v>27</v>
      </c>
      <c r="G113" cm="1">
        <f t="array" aca="1" ref="G113" ca="1">SUMPRODUCT(SUMIFS(INDIRECT(LS_Sheet_Name&amp;"!C[-3]",FALSE),INDIRECT(LS_Sheet_Name&amp;"!C1",FALSE),$D113))</f>
        <v>27</v>
      </c>
      <c r="H113" cm="1">
        <f t="array" aca="1" ref="H113" ca="1">SUMPRODUCT(SUMIFS(INDIRECT(LS_Sheet_Name&amp;"!C[-3]",FALSE),INDIRECT(LS_Sheet_Name&amp;"!C1",FALSE),$D113))</f>
        <v>39</v>
      </c>
      <c r="I113" cm="1">
        <f t="array" aca="1" ref="I113" ca="1">SUMPRODUCT(SUMIFS(INDIRECT(LS_Sheet_Name&amp;"!C[-3]",FALSE),INDIRECT(LS_Sheet_Name&amp;"!C1",FALSE),$D113))</f>
        <v>27</v>
      </c>
      <c r="J113" cm="1">
        <f t="array" aca="1" ref="J113" ca="1">SUMPRODUCT(SUMIFS(INDIRECT(LS_Sheet_Name&amp;"!C[-3]",FALSE),INDIRECT(LS_Sheet_Name&amp;"!C1",FALSE),$D113))</f>
        <v>46</v>
      </c>
      <c r="K113" cm="1">
        <f t="array" aca="1" ref="K113" ca="1">SUMPRODUCT(SUMIFS(INDIRECT(LS_Sheet_Name&amp;"!C[-3]",FALSE),INDIRECT(LS_Sheet_Name&amp;"!C1",FALSE),$D113))</f>
        <v>51</v>
      </c>
      <c r="L113" cm="1">
        <f t="array" aca="1" ref="L113" ca="1">SUMPRODUCT(SUMIFS(INDIRECT(LS_Sheet_Name&amp;"!C[-3]",FALSE),INDIRECT(LS_Sheet_Name&amp;"!C1",FALSE),$D113))</f>
        <v>51</v>
      </c>
      <c r="M113" cm="1">
        <f t="array" aca="1" ref="M113" ca="1">SUMPRODUCT(SUMIFS(INDIRECT(LS_Sheet_Name&amp;"!C[-3]",FALSE),INDIRECT(LS_Sheet_Name&amp;"!C1",FALSE),$D113))</f>
        <v>41</v>
      </c>
      <c r="N113" cm="1">
        <f t="array" aca="1" ref="N113" ca="1">SUMPRODUCT(SUMIFS(INDIRECT(LS_Sheet_Name&amp;"!C[-3]",FALSE),INDIRECT(LS_Sheet_Name&amp;"!C1",FALSE),$D113))</f>
        <v>59</v>
      </c>
    </row>
    <row r="114" spans="3:14" x14ac:dyDescent="0.2">
      <c r="D114" t="s">
        <v>202</v>
      </c>
      <c r="E114" cm="1">
        <f t="array" aca="1" ref="E114" ca="1">SUMPRODUCT(SUMIFS(INDIRECT(LS_Sheet_Name&amp;"!C[-3]",FALSE),INDIRECT(LS_Sheet_Name&amp;"!C1",FALSE),$D114))</f>
        <v>48</v>
      </c>
      <c r="F114" cm="1">
        <f t="array" aca="1" ref="F114" ca="1">SUMPRODUCT(SUMIFS(INDIRECT(LS_Sheet_Name&amp;"!C[-3]",FALSE),INDIRECT(LS_Sheet_Name&amp;"!C1",FALSE),$D114))</f>
        <v>71</v>
      </c>
      <c r="G114" cm="1">
        <f t="array" aca="1" ref="G114" ca="1">SUMPRODUCT(SUMIFS(INDIRECT(LS_Sheet_Name&amp;"!C[-3]",FALSE),INDIRECT(LS_Sheet_Name&amp;"!C1",FALSE),$D114))</f>
        <v>45</v>
      </c>
      <c r="H114" cm="1">
        <f t="array" aca="1" ref="H114" ca="1">SUMPRODUCT(SUMIFS(INDIRECT(LS_Sheet_Name&amp;"!C[-3]",FALSE),INDIRECT(LS_Sheet_Name&amp;"!C1",FALSE),$D114))</f>
        <v>36</v>
      </c>
      <c r="I114" cm="1">
        <f t="array" aca="1" ref="I114" ca="1">SUMPRODUCT(SUMIFS(INDIRECT(LS_Sheet_Name&amp;"!C[-3]",FALSE),INDIRECT(LS_Sheet_Name&amp;"!C1",FALSE),$D114))</f>
        <v>59</v>
      </c>
      <c r="J114" cm="1">
        <f t="array" aca="1" ref="J114" ca="1">SUMPRODUCT(SUMIFS(INDIRECT(LS_Sheet_Name&amp;"!C[-3]",FALSE),INDIRECT(LS_Sheet_Name&amp;"!C1",FALSE),$D114))</f>
        <v>33</v>
      </c>
      <c r="K114" cm="1">
        <f t="array" aca="1" ref="K114" ca="1">SUMPRODUCT(SUMIFS(INDIRECT(LS_Sheet_Name&amp;"!C[-3]",FALSE),INDIRECT(LS_Sheet_Name&amp;"!C1",FALSE),$D114))</f>
        <v>47</v>
      </c>
      <c r="L114" cm="1">
        <f t="array" aca="1" ref="L114" ca="1">SUMPRODUCT(SUMIFS(INDIRECT(LS_Sheet_Name&amp;"!C[-3]",FALSE),INDIRECT(LS_Sheet_Name&amp;"!C1",FALSE),$D114))</f>
        <v>62</v>
      </c>
      <c r="M114" cm="1">
        <f t="array" aca="1" ref="M114" ca="1">SUMPRODUCT(SUMIFS(INDIRECT(LS_Sheet_Name&amp;"!C[-3]",FALSE),INDIRECT(LS_Sheet_Name&amp;"!C1",FALSE),$D114))</f>
        <v>49</v>
      </c>
      <c r="N114" cm="1">
        <f t="array" aca="1" ref="N114" ca="1">SUMPRODUCT(SUMIFS(INDIRECT(LS_Sheet_Name&amp;"!C[-3]",FALSE),INDIRECT(LS_Sheet_Name&amp;"!C1",FALSE),$D114))</f>
        <v>24</v>
      </c>
    </row>
    <row r="117" spans="3:14" ht="15" x14ac:dyDescent="0.25">
      <c r="D117" s="4" t="s">
        <v>197</v>
      </c>
    </row>
    <row r="118" spans="3:14" x14ac:dyDescent="0.2">
      <c r="E118" s="18" t="s">
        <v>198</v>
      </c>
    </row>
    <row r="119" spans="3:14" x14ac:dyDescent="0.2">
      <c r="D119" t="s">
        <v>200</v>
      </c>
      <c r="E119" cm="1">
        <f t="array" aca="1" ref="E119:E121" ca="1">_xlfn.REDUCE(0,LS_Sheet_Name,_xlfn.LAMBDA(_xlpm.x,_xlpm.y,_xlpm.x+SUMIFS(INDIRECT(_xlpm.y&amp;"!C[-3]",FALSE),INDIRECT(_xlpm.y&amp;"!C1",FALSE),$D119:$D121)))</f>
        <v>55</v>
      </c>
      <c r="F119" cm="1">
        <f t="array" aca="1" ref="F119:F121" ca="1">_xlfn.REDUCE(0,LS_Sheet_Name,_xlfn.LAMBDA(_xlpm.x,_xlpm.y,_xlpm.x+SUMIFS(INDIRECT(_xlpm.y&amp;"!C[-3]",FALSE),INDIRECT(_xlpm.y&amp;"!C1",FALSE),$D119:$D121)))</f>
        <v>70</v>
      </c>
      <c r="G119" cm="1">
        <f t="array" aca="1" ref="G119:G121" ca="1">_xlfn.REDUCE(0,LS_Sheet_Name,_xlfn.LAMBDA(_xlpm.x,_xlpm.y,_xlpm.x+SUMIFS(INDIRECT(_xlpm.y&amp;"!C[-3]",FALSE),INDIRECT(_xlpm.y&amp;"!C1",FALSE),$D119:$D121)))</f>
        <v>45</v>
      </c>
      <c r="H119" cm="1">
        <f t="array" aca="1" ref="H119:H121" ca="1">_xlfn.REDUCE(0,LS_Sheet_Name,_xlfn.LAMBDA(_xlpm.x,_xlpm.y,_xlpm.x+SUMIFS(INDIRECT(_xlpm.y&amp;"!C[-3]",FALSE),INDIRECT(_xlpm.y&amp;"!C1",FALSE),$D119:$D121)))</f>
        <v>36</v>
      </c>
      <c r="I119" cm="1">
        <f t="array" aca="1" ref="I119:I121" ca="1">_xlfn.REDUCE(0,LS_Sheet_Name,_xlfn.LAMBDA(_xlpm.x,_xlpm.y,_xlpm.x+SUMIFS(INDIRECT(_xlpm.y&amp;"!C[-3]",FALSE),INDIRECT(_xlpm.y&amp;"!C1",FALSE),$D119:$D121)))</f>
        <v>52</v>
      </c>
      <c r="J119" cm="1">
        <f t="array" aca="1" ref="J119:J121" ca="1">_xlfn.REDUCE(0,LS_Sheet_Name,_xlfn.LAMBDA(_xlpm.x,_xlpm.y,_xlpm.x+SUMIFS(INDIRECT(_xlpm.y&amp;"!C[-3]",FALSE),INDIRECT(_xlpm.y&amp;"!C1",FALSE),$D119:$D121)))</f>
        <v>47</v>
      </c>
      <c r="K119" cm="1">
        <f t="array" aca="1" ref="K119:K121" ca="1">_xlfn.REDUCE(0,LS_Sheet_Name,_xlfn.LAMBDA(_xlpm.x,_xlpm.y,_xlpm.x+SUMIFS(INDIRECT(_xlpm.y&amp;"!C[-3]",FALSE),INDIRECT(_xlpm.y&amp;"!C1",FALSE),$D119:$D121)))</f>
        <v>43</v>
      </c>
      <c r="L119" cm="1">
        <f t="array" aca="1" ref="L119:L121" ca="1">_xlfn.REDUCE(0,LS_Sheet_Name,_xlfn.LAMBDA(_xlpm.x,_xlpm.y,_xlpm.x+SUMIFS(INDIRECT(_xlpm.y&amp;"!C[-3]",FALSE),INDIRECT(_xlpm.y&amp;"!C1",FALSE),$D119:$D121)))</f>
        <v>70</v>
      </c>
      <c r="M119" cm="1">
        <f t="array" aca="1" ref="M119:M121" ca="1">_xlfn.REDUCE(0,LS_Sheet_Name,_xlfn.LAMBDA(_xlpm.x,_xlpm.y,_xlpm.x+SUMIFS(INDIRECT(_xlpm.y&amp;"!C[-3]",FALSE),INDIRECT(_xlpm.y&amp;"!C1",FALSE),$D119:$D121)))</f>
        <v>48</v>
      </c>
      <c r="N119" cm="1">
        <f t="array" aca="1" ref="N119:N121" ca="1">_xlfn.REDUCE(0,LS_Sheet_Name,_xlfn.LAMBDA(_xlpm.x,_xlpm.y,_xlpm.x+SUMIFS(INDIRECT(_xlpm.y&amp;"!C[-3]",FALSE),INDIRECT(_xlpm.y&amp;"!C1",FALSE),$D119:$D121)))</f>
        <v>49</v>
      </c>
    </row>
    <row r="120" spans="3:14" x14ac:dyDescent="0.2">
      <c r="D120" t="s">
        <v>201</v>
      </c>
      <c r="E120">
        <f ca="1"/>
        <v>62</v>
      </c>
      <c r="F120">
        <f ca="1"/>
        <v>27</v>
      </c>
      <c r="G120">
        <f ca="1"/>
        <v>27</v>
      </c>
      <c r="H120">
        <f ca="1"/>
        <v>39</v>
      </c>
      <c r="I120">
        <f ca="1"/>
        <v>27</v>
      </c>
      <c r="J120">
        <f ca="1"/>
        <v>46</v>
      </c>
      <c r="K120">
        <f ca="1"/>
        <v>51</v>
      </c>
      <c r="L120">
        <f ca="1"/>
        <v>51</v>
      </c>
      <c r="M120">
        <f ca="1"/>
        <v>41</v>
      </c>
      <c r="N120">
        <f ca="1"/>
        <v>59</v>
      </c>
    </row>
    <row r="121" spans="3:14" x14ac:dyDescent="0.2">
      <c r="D121" t="s">
        <v>202</v>
      </c>
      <c r="E121">
        <f ca="1"/>
        <v>48</v>
      </c>
      <c r="F121">
        <f ca="1"/>
        <v>71</v>
      </c>
      <c r="G121">
        <f ca="1"/>
        <v>45</v>
      </c>
      <c r="H121">
        <f ca="1"/>
        <v>36</v>
      </c>
      <c r="I121">
        <f ca="1"/>
        <v>59</v>
      </c>
      <c r="J121">
        <f ca="1"/>
        <v>33</v>
      </c>
      <c r="K121">
        <f ca="1"/>
        <v>47</v>
      </c>
      <c r="L121">
        <f ca="1"/>
        <v>62</v>
      </c>
      <c r="M121">
        <f ca="1"/>
        <v>49</v>
      </c>
      <c r="N121">
        <f ca="1"/>
        <v>24</v>
      </c>
    </row>
    <row r="124" spans="3:14" ht="16.5" x14ac:dyDescent="0.25">
      <c r="C124" s="3" t="s">
        <v>142</v>
      </c>
    </row>
    <row r="125" spans="3:14" x14ac:dyDescent="0.2">
      <c r="E125" s="18" t="s">
        <v>199</v>
      </c>
    </row>
    <row r="126" spans="3:14" x14ac:dyDescent="0.2">
      <c r="D126" t="s">
        <v>200</v>
      </c>
      <c r="E126" cm="1">
        <f t="array" ref="E126:N126">_xlfn.LET(_xlpm.data,_xlfn.VSTACK(A:B!$B$1:$K$9),
_xlpm.criteria,_xlfn.VSTACK(A:B!$A$1:$A$9),
_xlfn.BYCOL(_xlpm.data,_xlfn.LAMBDA(_xlpm.a,SUM(_xlpm.a*(_xlpm.criteria=D126)))))</f>
        <v>55</v>
      </c>
      <c r="F126">
        <v>70</v>
      </c>
      <c r="G126">
        <v>45</v>
      </c>
      <c r="H126">
        <v>36</v>
      </c>
      <c r="I126">
        <v>52</v>
      </c>
      <c r="J126">
        <v>47</v>
      </c>
      <c r="K126">
        <v>43</v>
      </c>
      <c r="L126">
        <v>70</v>
      </c>
      <c r="M126">
        <v>48</v>
      </c>
      <c r="N126">
        <v>49</v>
      </c>
    </row>
    <row r="127" spans="3:14" x14ac:dyDescent="0.2">
      <c r="D127" t="s">
        <v>201</v>
      </c>
      <c r="E127" cm="1">
        <f t="array" ref="E127:N127">_xlfn.LET(_xlpm.data,_xlfn.VSTACK(A:B!$B$1:$K$9),
_xlpm.criteria,_xlfn.VSTACK(A:B!$A$1:$A$9),
_xlfn.BYCOL(_xlpm.data,_xlfn.LAMBDA(_xlpm.a,SUM(_xlpm.a*(_xlpm.criteria=D127)))))</f>
        <v>62</v>
      </c>
      <c r="F127">
        <v>27</v>
      </c>
      <c r="G127">
        <v>27</v>
      </c>
      <c r="H127">
        <v>39</v>
      </c>
      <c r="I127">
        <v>27</v>
      </c>
      <c r="J127">
        <v>46</v>
      </c>
      <c r="K127">
        <v>51</v>
      </c>
      <c r="L127">
        <v>51</v>
      </c>
      <c r="M127">
        <v>41</v>
      </c>
      <c r="N127">
        <v>59</v>
      </c>
    </row>
    <row r="128" spans="3:14" x14ac:dyDescent="0.2">
      <c r="D128" t="s">
        <v>202</v>
      </c>
      <c r="E128" cm="1">
        <f t="array" ref="E128:N128">_xlfn.LET(_xlpm.data,_xlfn.VSTACK(A:B!$B$1:$K$9),
_xlpm.criteria,_xlfn.VSTACK(A:B!$A$1:$A$9),
_xlfn.BYCOL(_xlpm.data,_xlfn.LAMBDA(_xlpm.a,SUM(_xlpm.a*(_xlpm.criteria=D128)))))</f>
        <v>48</v>
      </c>
      <c r="F128">
        <v>71</v>
      </c>
      <c r="G128">
        <v>45</v>
      </c>
      <c r="H128">
        <v>36</v>
      </c>
      <c r="I128">
        <v>59</v>
      </c>
      <c r="J128">
        <v>33</v>
      </c>
      <c r="K128">
        <v>47</v>
      </c>
      <c r="L128">
        <v>62</v>
      </c>
      <c r="M128">
        <v>49</v>
      </c>
      <c r="N128">
        <v>24</v>
      </c>
    </row>
    <row r="131" spans="3:14" ht="16.5" x14ac:dyDescent="0.25">
      <c r="C131" s="3" t="s">
        <v>203</v>
      </c>
    </row>
    <row r="132" spans="3:14" x14ac:dyDescent="0.2">
      <c r="E132" s="18" t="s">
        <v>204</v>
      </c>
    </row>
    <row r="133" spans="3:14" x14ac:dyDescent="0.2">
      <c r="D133" t="s">
        <v>200</v>
      </c>
      <c r="E133" cm="1">
        <f t="array" ref="E133:N135">_xlfn.LET(_xlpm.data,_xlfn.VSTACK(A:B!$B$1:$K$9),
 _xlpm.criteria,_xlfn.VSTACK(A:B!$A$1:$A$9),
MMULT((TRANSPOSE(_xlpm.criteria)=(D133:D135))*1,_xlpm.data))</f>
        <v>55</v>
      </c>
      <c r="F133">
        <v>70</v>
      </c>
      <c r="G133">
        <v>45</v>
      </c>
      <c r="H133">
        <v>36</v>
      </c>
      <c r="I133">
        <v>52</v>
      </c>
      <c r="J133">
        <v>47</v>
      </c>
      <c r="K133">
        <v>43</v>
      </c>
      <c r="L133">
        <v>70</v>
      </c>
      <c r="M133">
        <v>48</v>
      </c>
      <c r="N133">
        <v>49</v>
      </c>
    </row>
    <row r="134" spans="3:14" x14ac:dyDescent="0.2">
      <c r="D134" t="s">
        <v>201</v>
      </c>
      <c r="E134">
        <v>62</v>
      </c>
      <c r="F134">
        <v>27</v>
      </c>
      <c r="G134">
        <v>27</v>
      </c>
      <c r="H134">
        <v>39</v>
      </c>
      <c r="I134">
        <v>27</v>
      </c>
      <c r="J134">
        <v>46</v>
      </c>
      <c r="K134">
        <v>51</v>
      </c>
      <c r="L134">
        <v>51</v>
      </c>
      <c r="M134">
        <v>41</v>
      </c>
      <c r="N134">
        <v>59</v>
      </c>
    </row>
    <row r="135" spans="3:14" x14ac:dyDescent="0.2">
      <c r="D135" t="s">
        <v>202</v>
      </c>
      <c r="E135">
        <v>48</v>
      </c>
      <c r="F135">
        <v>71</v>
      </c>
      <c r="G135">
        <v>45</v>
      </c>
      <c r="H135">
        <v>36</v>
      </c>
      <c r="I135">
        <v>59</v>
      </c>
      <c r="J135">
        <v>33</v>
      </c>
      <c r="K135">
        <v>47</v>
      </c>
      <c r="L135">
        <v>62</v>
      </c>
      <c r="M135">
        <v>49</v>
      </c>
      <c r="N135">
        <v>24</v>
      </c>
    </row>
  </sheetData>
  <mergeCells count="1">
    <mergeCell ref="A3:F3"/>
  </mergeCells>
  <conditionalFormatting sqref="G4">
    <cfRule type="cellIs" dxfId="0" priority="1" operator="notEqual">
      <formula>0</formula>
    </cfRule>
  </conditionalFormatting>
  <hyperlinks>
    <hyperlink ref="G4" location="Overall_Error_Check" tooltip="Go to Overall Error Check" display="Overall_Error_Check" xr:uid="{4C0A8471-EAC4-4447-B253-3392590B5DC4}"/>
    <hyperlink ref="A3:F3" location="HL_Navigator" tooltip="Go to Navigator (Table of Contents)" display="Navigator" xr:uid="{46FA8E87-A5BF-494A-A14F-DDEA33DC679F}"/>
    <hyperlink ref="A3" location="HL_Navigator" display="Navigator" xr:uid="{3794B5EA-09E4-40FD-BBE3-BE88D59B140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6AAFF-5B97-46EB-8EEB-34FE2A651957}">
  <sheetPr>
    <tabColor theme="1"/>
  </sheetPr>
  <dimension ref="A1:K9"/>
  <sheetViews>
    <sheetView zoomScaleNormal="100" workbookViewId="0"/>
  </sheetViews>
  <sheetFormatPr defaultRowHeight="12" x14ac:dyDescent="0.2"/>
  <sheetData>
    <row r="1" spans="1:11" x14ac:dyDescent="0.2">
      <c r="B1" cm="1">
        <f t="array" ref="B1:K9">_xlfn.ANCHORARRAY('2D Array'!$G$15)*0</f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</row>
    <row r="2" spans="1:11" x14ac:dyDescent="0.2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</row>
    <row r="3" spans="1:11" x14ac:dyDescent="0.2">
      <c r="A3" s="11" t="s">
        <v>0</v>
      </c>
      <c r="B3" s="11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</row>
    <row r="4" spans="1:11" x14ac:dyDescent="0.2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</row>
    <row r="5" spans="1:11" x14ac:dyDescent="0.2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</row>
    <row r="6" spans="1:11" x14ac:dyDescent="0.2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</row>
    <row r="7" spans="1:11" x14ac:dyDescent="0.2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</row>
    <row r="8" spans="1:11" x14ac:dyDescent="0.2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</row>
    <row r="9" spans="1:11" x14ac:dyDescent="0.2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</row>
  </sheetData>
  <hyperlinks>
    <hyperlink ref="B3" location="HL_Navigator" display="Navigator" xr:uid="{8FAEF095-B947-46CA-A113-E2FB61112D45}"/>
    <hyperlink ref="A3" location="HL_Navigator" display="Navigator" xr:uid="{A042CCE3-18A5-4551-95EE-957AB1ADB298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8D5D2-0731-4244-85AC-40B13E31BD75}">
  <dimension ref="A1:K9"/>
  <sheetViews>
    <sheetView zoomScaleNormal="100" workbookViewId="0"/>
  </sheetViews>
  <sheetFormatPr defaultRowHeight="12" x14ac:dyDescent="0.2"/>
  <cols>
    <col min="1" max="1" width="9.42578125" bestFit="1" customWidth="1"/>
    <col min="2" max="2" width="11.140625" bestFit="1" customWidth="1"/>
    <col min="3" max="3" width="17.85546875" bestFit="1" customWidth="1"/>
    <col min="4" max="4" width="9" bestFit="1" customWidth="1"/>
  </cols>
  <sheetData>
    <row r="1" spans="1:11" x14ac:dyDescent="0.2">
      <c r="A1" t="str" cm="1">
        <f t="array" ref="A1:A9">{"A";"A";"A";"B";"B";"B";"C";"C";"C"}</f>
        <v>A</v>
      </c>
      <c r="B1" cm="1">
        <f t="array" ref="B1:K9">_xlfn.ANCHORARRAY('2D Array'!$G$15)</f>
        <v>1</v>
      </c>
      <c r="C1">
        <v>9</v>
      </c>
      <c r="D1">
        <v>3</v>
      </c>
      <c r="E1">
        <v>5</v>
      </c>
      <c r="F1">
        <v>3</v>
      </c>
      <c r="G1">
        <v>9</v>
      </c>
      <c r="H1">
        <v>3</v>
      </c>
      <c r="I1">
        <v>3</v>
      </c>
      <c r="J1">
        <v>3</v>
      </c>
      <c r="K1">
        <v>9</v>
      </c>
    </row>
    <row r="2" spans="1:11" x14ac:dyDescent="0.2">
      <c r="A2" t="str">
        <v>A</v>
      </c>
      <c r="B2">
        <v>9</v>
      </c>
      <c r="C2">
        <v>6</v>
      </c>
      <c r="D2">
        <v>8</v>
      </c>
      <c r="E2">
        <v>3</v>
      </c>
      <c r="F2">
        <v>10</v>
      </c>
      <c r="G2">
        <v>5</v>
      </c>
      <c r="H2">
        <v>10</v>
      </c>
      <c r="I2">
        <v>9</v>
      </c>
      <c r="J2">
        <v>8</v>
      </c>
      <c r="K2">
        <v>3</v>
      </c>
    </row>
    <row r="3" spans="1:11" x14ac:dyDescent="0.2">
      <c r="A3" s="11" t="str">
        <v>A</v>
      </c>
      <c r="B3" s="11">
        <v>4</v>
      </c>
      <c r="C3">
        <v>2</v>
      </c>
      <c r="D3">
        <v>2</v>
      </c>
      <c r="E3">
        <v>2</v>
      </c>
      <c r="F3">
        <v>0</v>
      </c>
      <c r="G3">
        <v>1</v>
      </c>
      <c r="H3">
        <v>0</v>
      </c>
      <c r="I3">
        <v>8</v>
      </c>
      <c r="J3">
        <v>4</v>
      </c>
      <c r="K3">
        <v>8</v>
      </c>
    </row>
    <row r="4" spans="1:11" x14ac:dyDescent="0.2">
      <c r="A4" t="str">
        <v>B</v>
      </c>
      <c r="B4">
        <v>4</v>
      </c>
      <c r="C4">
        <v>2</v>
      </c>
      <c r="D4">
        <v>6</v>
      </c>
      <c r="E4">
        <v>4</v>
      </c>
      <c r="F4">
        <v>4</v>
      </c>
      <c r="G4">
        <v>7</v>
      </c>
      <c r="H4">
        <v>8</v>
      </c>
      <c r="I4">
        <v>3</v>
      </c>
      <c r="J4">
        <v>4</v>
      </c>
      <c r="K4">
        <v>8</v>
      </c>
    </row>
    <row r="5" spans="1:11" x14ac:dyDescent="0.2">
      <c r="A5" t="str">
        <v>B</v>
      </c>
      <c r="B5">
        <v>10</v>
      </c>
      <c r="C5">
        <v>1</v>
      </c>
      <c r="D5">
        <v>1</v>
      </c>
      <c r="E5">
        <v>7</v>
      </c>
      <c r="F5">
        <v>3</v>
      </c>
      <c r="G5">
        <v>3</v>
      </c>
      <c r="H5">
        <v>9</v>
      </c>
      <c r="I5">
        <v>8</v>
      </c>
      <c r="J5">
        <v>9</v>
      </c>
      <c r="K5">
        <v>7</v>
      </c>
    </row>
    <row r="6" spans="1:11" x14ac:dyDescent="0.2">
      <c r="A6" t="str">
        <v>B</v>
      </c>
      <c r="B6">
        <v>10</v>
      </c>
      <c r="C6">
        <v>9</v>
      </c>
      <c r="D6">
        <v>3</v>
      </c>
      <c r="E6">
        <v>3</v>
      </c>
      <c r="F6">
        <v>3</v>
      </c>
      <c r="G6">
        <v>8</v>
      </c>
      <c r="H6">
        <v>0</v>
      </c>
      <c r="I6">
        <v>9</v>
      </c>
      <c r="J6">
        <v>1</v>
      </c>
      <c r="K6">
        <v>7</v>
      </c>
    </row>
    <row r="7" spans="1:11" x14ac:dyDescent="0.2">
      <c r="A7" t="str">
        <v>C</v>
      </c>
      <c r="B7">
        <v>4</v>
      </c>
      <c r="C7">
        <v>9</v>
      </c>
      <c r="D7">
        <v>3</v>
      </c>
      <c r="E7">
        <v>2</v>
      </c>
      <c r="F7">
        <v>7</v>
      </c>
      <c r="G7">
        <v>0</v>
      </c>
      <c r="H7">
        <v>0</v>
      </c>
      <c r="I7">
        <v>7</v>
      </c>
      <c r="J7">
        <v>9</v>
      </c>
      <c r="K7">
        <v>0</v>
      </c>
    </row>
    <row r="8" spans="1:11" x14ac:dyDescent="0.2">
      <c r="A8" t="str">
        <v>C</v>
      </c>
      <c r="B8">
        <v>9</v>
      </c>
      <c r="C8">
        <v>9</v>
      </c>
      <c r="D8">
        <v>6</v>
      </c>
      <c r="E8">
        <v>9</v>
      </c>
      <c r="F8">
        <v>8</v>
      </c>
      <c r="G8">
        <v>9</v>
      </c>
      <c r="H8">
        <v>10</v>
      </c>
      <c r="I8">
        <v>7</v>
      </c>
      <c r="J8">
        <v>5</v>
      </c>
      <c r="K8">
        <v>2</v>
      </c>
    </row>
    <row r="9" spans="1:11" x14ac:dyDescent="0.2">
      <c r="A9" t="str">
        <v>C</v>
      </c>
      <c r="B9">
        <v>4</v>
      </c>
      <c r="C9">
        <v>9</v>
      </c>
      <c r="D9">
        <v>7</v>
      </c>
      <c r="E9">
        <v>2</v>
      </c>
      <c r="F9">
        <v>8</v>
      </c>
      <c r="G9">
        <v>0</v>
      </c>
      <c r="H9">
        <v>7</v>
      </c>
      <c r="I9">
        <v>7</v>
      </c>
      <c r="J9">
        <v>3</v>
      </c>
      <c r="K9">
        <v>0</v>
      </c>
    </row>
  </sheetData>
  <hyperlinks>
    <hyperlink ref="B3" location="HL_Navigator" display="Navigator" xr:uid="{AC559749-CD79-4B74-A9BD-1FA9E3A872EF}"/>
    <hyperlink ref="A3" location="HL_Navigator" display="Navigator" xr:uid="{C06BC011-88F6-4B2B-A021-70BC01874B0E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5A559-07AB-48EA-B2EF-0C2A56ECEA20}">
  <dimension ref="A1:K9"/>
  <sheetViews>
    <sheetView zoomScaleNormal="100" workbookViewId="0"/>
  </sheetViews>
  <sheetFormatPr defaultRowHeight="12" x14ac:dyDescent="0.2"/>
  <sheetData>
    <row r="1" spans="1:11" x14ac:dyDescent="0.2">
      <c r="A1" t="str" cm="1">
        <f t="array" ref="A1:A9">{"A";"A";"A";"B";"B";"B";"C";"C";"C"}</f>
        <v>A</v>
      </c>
      <c r="B1" cm="1">
        <f t="array" ref="B1:K9">_xlfn.ANCHORARRAY('2D Array'!$G$15)</f>
        <v>1</v>
      </c>
      <c r="C1">
        <v>9</v>
      </c>
      <c r="D1">
        <v>3</v>
      </c>
      <c r="E1">
        <v>5</v>
      </c>
      <c r="F1">
        <v>3</v>
      </c>
      <c r="G1">
        <v>9</v>
      </c>
      <c r="H1">
        <v>3</v>
      </c>
      <c r="I1">
        <v>3</v>
      </c>
      <c r="J1">
        <v>3</v>
      </c>
      <c r="K1">
        <v>9</v>
      </c>
    </row>
    <row r="2" spans="1:11" x14ac:dyDescent="0.2">
      <c r="A2" t="str">
        <v>A</v>
      </c>
      <c r="B2">
        <v>9</v>
      </c>
      <c r="C2">
        <v>6</v>
      </c>
      <c r="D2">
        <v>8</v>
      </c>
      <c r="E2">
        <v>3</v>
      </c>
      <c r="F2">
        <v>10</v>
      </c>
      <c r="G2">
        <v>5</v>
      </c>
      <c r="H2">
        <v>10</v>
      </c>
      <c r="I2">
        <v>9</v>
      </c>
      <c r="J2">
        <v>8</v>
      </c>
      <c r="K2">
        <v>3</v>
      </c>
    </row>
    <row r="3" spans="1:11" x14ac:dyDescent="0.2">
      <c r="A3" s="11" t="str">
        <v>A</v>
      </c>
      <c r="B3" s="11">
        <v>4</v>
      </c>
      <c r="C3">
        <v>2</v>
      </c>
      <c r="D3">
        <v>2</v>
      </c>
      <c r="E3">
        <v>2</v>
      </c>
      <c r="F3">
        <v>0</v>
      </c>
      <c r="G3">
        <v>1</v>
      </c>
      <c r="H3">
        <v>0</v>
      </c>
      <c r="I3">
        <v>8</v>
      </c>
      <c r="J3">
        <v>4</v>
      </c>
      <c r="K3">
        <v>8</v>
      </c>
    </row>
    <row r="4" spans="1:11" x14ac:dyDescent="0.2">
      <c r="A4" t="str">
        <v>B</v>
      </c>
      <c r="B4">
        <v>4</v>
      </c>
      <c r="C4">
        <v>2</v>
      </c>
      <c r="D4">
        <v>6</v>
      </c>
      <c r="E4">
        <v>4</v>
      </c>
      <c r="F4">
        <v>4</v>
      </c>
      <c r="G4">
        <v>7</v>
      </c>
      <c r="H4">
        <v>8</v>
      </c>
      <c r="I4">
        <v>3</v>
      </c>
      <c r="J4">
        <v>4</v>
      </c>
      <c r="K4">
        <v>8</v>
      </c>
    </row>
    <row r="5" spans="1:11" x14ac:dyDescent="0.2">
      <c r="A5" t="str">
        <v>B</v>
      </c>
      <c r="B5">
        <v>10</v>
      </c>
      <c r="C5">
        <v>1</v>
      </c>
      <c r="D5">
        <v>1</v>
      </c>
      <c r="E5">
        <v>7</v>
      </c>
      <c r="F5">
        <v>3</v>
      </c>
      <c r="G5">
        <v>3</v>
      </c>
      <c r="H5">
        <v>9</v>
      </c>
      <c r="I5">
        <v>8</v>
      </c>
      <c r="J5">
        <v>9</v>
      </c>
      <c r="K5">
        <v>7</v>
      </c>
    </row>
    <row r="6" spans="1:11" x14ac:dyDescent="0.2">
      <c r="A6" t="str">
        <v>B</v>
      </c>
      <c r="B6">
        <v>10</v>
      </c>
      <c r="C6">
        <v>9</v>
      </c>
      <c r="D6">
        <v>3</v>
      </c>
      <c r="E6">
        <v>3</v>
      </c>
      <c r="F6">
        <v>3</v>
      </c>
      <c r="G6">
        <v>8</v>
      </c>
      <c r="H6">
        <v>0</v>
      </c>
      <c r="I6">
        <v>9</v>
      </c>
      <c r="J6">
        <v>1</v>
      </c>
      <c r="K6">
        <v>7</v>
      </c>
    </row>
    <row r="7" spans="1:11" x14ac:dyDescent="0.2">
      <c r="A7" t="str">
        <v>C</v>
      </c>
      <c r="B7">
        <v>4</v>
      </c>
      <c r="C7">
        <v>9</v>
      </c>
      <c r="D7">
        <v>3</v>
      </c>
      <c r="E7">
        <v>2</v>
      </c>
      <c r="F7">
        <v>7</v>
      </c>
      <c r="G7">
        <v>0</v>
      </c>
      <c r="H7">
        <v>0</v>
      </c>
      <c r="I7">
        <v>7</v>
      </c>
      <c r="J7">
        <v>9</v>
      </c>
      <c r="K7">
        <v>0</v>
      </c>
    </row>
    <row r="8" spans="1:11" x14ac:dyDescent="0.2">
      <c r="A8" t="str">
        <v>C</v>
      </c>
      <c r="B8">
        <v>9</v>
      </c>
      <c r="C8">
        <v>9</v>
      </c>
      <c r="D8">
        <v>6</v>
      </c>
      <c r="E8">
        <v>9</v>
      </c>
      <c r="F8">
        <v>8</v>
      </c>
      <c r="G8">
        <v>9</v>
      </c>
      <c r="H8">
        <v>10</v>
      </c>
      <c r="I8">
        <v>7</v>
      </c>
      <c r="J8">
        <v>5</v>
      </c>
      <c r="K8">
        <v>2</v>
      </c>
    </row>
    <row r="9" spans="1:11" x14ac:dyDescent="0.2">
      <c r="A9" t="str">
        <v>C</v>
      </c>
      <c r="B9">
        <v>4</v>
      </c>
      <c r="C9">
        <v>9</v>
      </c>
      <c r="D9">
        <v>7</v>
      </c>
      <c r="E9">
        <v>2</v>
      </c>
      <c r="F9">
        <v>8</v>
      </c>
      <c r="G9">
        <v>0</v>
      </c>
      <c r="H9">
        <v>7</v>
      </c>
      <c r="I9">
        <v>7</v>
      </c>
      <c r="J9">
        <v>3</v>
      </c>
      <c r="K9">
        <v>0</v>
      </c>
    </row>
  </sheetData>
  <hyperlinks>
    <hyperlink ref="B3" location="HL_Navigator" display="Navigator" xr:uid="{BBBBB3F8-0010-4F04-AA9C-5BF46A02FBA2}"/>
    <hyperlink ref="A3" location="HL_Navigator" display="Navigator" xr:uid="{D746F3AC-1F39-4641-B093-2776E3B1A30D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115E7-90EA-4C90-9755-A45718EE25B9}">
  <dimension ref="A1:K9"/>
  <sheetViews>
    <sheetView zoomScaleNormal="100" workbookViewId="0"/>
  </sheetViews>
  <sheetFormatPr defaultRowHeight="12" x14ac:dyDescent="0.2"/>
  <sheetData>
    <row r="1" spans="1:11" x14ac:dyDescent="0.2">
      <c r="A1" t="str" cm="1">
        <f t="array" ref="A1:A9">{"C";"C";"C";"B";"B";"A";"A";"A";"A"}</f>
        <v>C</v>
      </c>
      <c r="B1" cm="1">
        <f t="array" ref="B1:K9">_xlfn.ANCHORARRAY('2D Array'!$G$15)</f>
        <v>1</v>
      </c>
      <c r="C1">
        <v>9</v>
      </c>
      <c r="D1">
        <v>3</v>
      </c>
      <c r="E1">
        <v>5</v>
      </c>
      <c r="F1">
        <v>3</v>
      </c>
      <c r="G1">
        <v>9</v>
      </c>
      <c r="H1">
        <v>3</v>
      </c>
      <c r="I1">
        <v>3</v>
      </c>
      <c r="J1">
        <v>3</v>
      </c>
      <c r="K1">
        <v>9</v>
      </c>
    </row>
    <row r="2" spans="1:11" x14ac:dyDescent="0.2">
      <c r="A2" t="str">
        <v>C</v>
      </c>
      <c r="B2">
        <v>9</v>
      </c>
      <c r="C2">
        <v>6</v>
      </c>
      <c r="D2">
        <v>8</v>
      </c>
      <c r="E2">
        <v>3</v>
      </c>
      <c r="F2">
        <v>10</v>
      </c>
      <c r="G2">
        <v>5</v>
      </c>
      <c r="H2">
        <v>10</v>
      </c>
      <c r="I2">
        <v>9</v>
      </c>
      <c r="J2">
        <v>8</v>
      </c>
      <c r="K2">
        <v>3</v>
      </c>
    </row>
    <row r="3" spans="1:11" x14ac:dyDescent="0.2">
      <c r="A3" s="11" t="str">
        <v>C</v>
      </c>
      <c r="B3" s="11">
        <v>4</v>
      </c>
      <c r="C3">
        <v>2</v>
      </c>
      <c r="D3">
        <v>2</v>
      </c>
      <c r="E3">
        <v>2</v>
      </c>
      <c r="F3">
        <v>0</v>
      </c>
      <c r="G3">
        <v>1</v>
      </c>
      <c r="H3">
        <v>0</v>
      </c>
      <c r="I3">
        <v>8</v>
      </c>
      <c r="J3">
        <v>4</v>
      </c>
      <c r="K3">
        <v>8</v>
      </c>
    </row>
    <row r="4" spans="1:11" x14ac:dyDescent="0.2">
      <c r="A4" t="str">
        <v>B</v>
      </c>
      <c r="B4">
        <v>4</v>
      </c>
      <c r="C4">
        <v>2</v>
      </c>
      <c r="D4">
        <v>6</v>
      </c>
      <c r="E4">
        <v>4</v>
      </c>
      <c r="F4">
        <v>4</v>
      </c>
      <c r="G4">
        <v>7</v>
      </c>
      <c r="H4">
        <v>8</v>
      </c>
      <c r="I4">
        <v>3</v>
      </c>
      <c r="J4">
        <v>4</v>
      </c>
      <c r="K4">
        <v>8</v>
      </c>
    </row>
    <row r="5" spans="1:11" x14ac:dyDescent="0.2">
      <c r="A5" t="str">
        <v>B</v>
      </c>
      <c r="B5">
        <v>10</v>
      </c>
      <c r="C5">
        <v>1</v>
      </c>
      <c r="D5">
        <v>1</v>
      </c>
      <c r="E5">
        <v>7</v>
      </c>
      <c r="F5">
        <v>3</v>
      </c>
      <c r="G5">
        <v>3</v>
      </c>
      <c r="H5">
        <v>9</v>
      </c>
      <c r="I5">
        <v>8</v>
      </c>
      <c r="J5">
        <v>9</v>
      </c>
      <c r="K5">
        <v>7</v>
      </c>
    </row>
    <row r="6" spans="1:11" x14ac:dyDescent="0.2">
      <c r="A6" t="str">
        <v>A</v>
      </c>
      <c r="B6">
        <v>10</v>
      </c>
      <c r="C6">
        <v>9</v>
      </c>
      <c r="D6">
        <v>3</v>
      </c>
      <c r="E6">
        <v>3</v>
      </c>
      <c r="F6">
        <v>3</v>
      </c>
      <c r="G6">
        <v>8</v>
      </c>
      <c r="H6">
        <v>0</v>
      </c>
      <c r="I6">
        <v>9</v>
      </c>
      <c r="J6">
        <v>1</v>
      </c>
      <c r="K6">
        <v>7</v>
      </c>
    </row>
    <row r="7" spans="1:11" x14ac:dyDescent="0.2">
      <c r="A7" t="str">
        <v>A</v>
      </c>
      <c r="B7">
        <v>4</v>
      </c>
      <c r="C7">
        <v>9</v>
      </c>
      <c r="D7">
        <v>3</v>
      </c>
      <c r="E7">
        <v>2</v>
      </c>
      <c r="F7">
        <v>7</v>
      </c>
      <c r="G7">
        <v>0</v>
      </c>
      <c r="H7">
        <v>0</v>
      </c>
      <c r="I7">
        <v>7</v>
      </c>
      <c r="J7">
        <v>9</v>
      </c>
      <c r="K7">
        <v>0</v>
      </c>
    </row>
    <row r="8" spans="1:11" x14ac:dyDescent="0.2">
      <c r="A8" t="str">
        <v>A</v>
      </c>
      <c r="B8">
        <v>9</v>
      </c>
      <c r="C8">
        <v>9</v>
      </c>
      <c r="D8">
        <v>6</v>
      </c>
      <c r="E8">
        <v>9</v>
      </c>
      <c r="F8">
        <v>8</v>
      </c>
      <c r="G8">
        <v>9</v>
      </c>
      <c r="H8">
        <v>10</v>
      </c>
      <c r="I8">
        <v>7</v>
      </c>
      <c r="J8">
        <v>5</v>
      </c>
      <c r="K8">
        <v>2</v>
      </c>
    </row>
    <row r="9" spans="1:11" x14ac:dyDescent="0.2">
      <c r="A9" t="str">
        <v>A</v>
      </c>
      <c r="B9">
        <v>4</v>
      </c>
      <c r="C9">
        <v>9</v>
      </c>
      <c r="D9">
        <v>7</v>
      </c>
      <c r="E9">
        <v>2</v>
      </c>
      <c r="F9">
        <v>8</v>
      </c>
      <c r="G9">
        <v>0</v>
      </c>
      <c r="H9">
        <v>7</v>
      </c>
      <c r="I9">
        <v>7</v>
      </c>
      <c r="J9">
        <v>3</v>
      </c>
      <c r="K9">
        <v>0</v>
      </c>
    </row>
  </sheetData>
  <hyperlinks>
    <hyperlink ref="B3" location="HL_Navigator" display="Navigator" xr:uid="{5638DE86-F76B-42E0-A349-E93001403881}"/>
    <hyperlink ref="A3" location="HL_Navigator" display="Navigator" xr:uid="{FC1AAF37-F33D-493E-AE3D-A3D8578B4182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3698A-78A0-44A0-9EC3-E03AE470B9DF}">
  <sheetPr>
    <tabColor theme="1"/>
  </sheetPr>
  <dimension ref="A1:K9"/>
  <sheetViews>
    <sheetView zoomScaleNormal="100" workbookViewId="0"/>
  </sheetViews>
  <sheetFormatPr defaultRowHeight="12" x14ac:dyDescent="0.2"/>
  <sheetData>
    <row r="1" spans="1:11" x14ac:dyDescent="0.2">
      <c r="B1" cm="1">
        <f t="array" ref="B1:K9">_xlfn.ANCHORARRAY('2D Array'!$G$15)*0</f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</row>
    <row r="2" spans="1:11" x14ac:dyDescent="0.2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</row>
    <row r="3" spans="1:11" x14ac:dyDescent="0.2">
      <c r="A3" s="11" t="s">
        <v>0</v>
      </c>
      <c r="B3" s="11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</row>
    <row r="4" spans="1:11" x14ac:dyDescent="0.2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</row>
    <row r="5" spans="1:11" x14ac:dyDescent="0.2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</row>
    <row r="6" spans="1:11" x14ac:dyDescent="0.2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</row>
    <row r="7" spans="1:11" x14ac:dyDescent="0.2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</row>
    <row r="8" spans="1:11" x14ac:dyDescent="0.2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</row>
    <row r="9" spans="1:11" x14ac:dyDescent="0.2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</row>
  </sheetData>
  <hyperlinks>
    <hyperlink ref="B3" location="HL_Navigator" display="Navigator" xr:uid="{09FD8F92-80BD-464E-9895-18ABBC7B485C}"/>
    <hyperlink ref="A3" location="HL_Navigator" display="Navigator" xr:uid="{93CC3C77-DA03-414B-BADE-76F76F85ED20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2ACAD-1EE3-433A-BC0B-C03526FD4203}">
  <dimension ref="A1:A3"/>
  <sheetViews>
    <sheetView zoomScaleNormal="100" workbookViewId="0"/>
  </sheetViews>
  <sheetFormatPr defaultRowHeight="12" x14ac:dyDescent="0.2"/>
  <sheetData>
    <row r="1" spans="1:1" x14ac:dyDescent="0.2">
      <c r="A1" t="s">
        <v>190</v>
      </c>
    </row>
    <row r="2" spans="1:1" x14ac:dyDescent="0.2">
      <c r="A2" t="s">
        <v>191</v>
      </c>
    </row>
    <row r="3" spans="1:1" x14ac:dyDescent="0.2">
      <c r="A3" s="11" t="s">
        <v>0</v>
      </c>
    </row>
  </sheetData>
  <hyperlinks>
    <hyperlink ref="A3" location="HL_Navigator" display="Navigator" xr:uid="{CB2607D0-A96E-4910-ABB4-0A0A770E66B1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5FE75ECA439A049B41314814B7E4B57" ma:contentTypeVersion="19" ma:contentTypeDescription="Create a new document." ma:contentTypeScope="" ma:versionID="da1a99c84e6ca064da3860da31b610ca">
  <xsd:schema xmlns:xsd="http://www.w3.org/2001/XMLSchema" xmlns:xs="http://www.w3.org/2001/XMLSchema" xmlns:p="http://schemas.microsoft.com/office/2006/metadata/properties" xmlns:ns2="ff58d06b-05e3-4c65-85ba-22cd93c7683f" xmlns:ns3="ac914b5e-6dd4-4de9-b905-57df3d54023d" targetNamespace="http://schemas.microsoft.com/office/2006/metadata/properties" ma:root="true" ma:fieldsID="168be74465772cdbbabb929fe3ff3b3c" ns2:_="" ns3:_="">
    <xsd:import namespace="ff58d06b-05e3-4c65-85ba-22cd93c7683f"/>
    <xsd:import namespace="ac914b5e-6dd4-4de9-b905-57df3d5402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58d06b-05e3-4c65-85ba-22cd93c768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ba3f6a92-6300-485e-b0cc-b70aa89c14b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5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914b5e-6dd4-4de9-b905-57df3d54023d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60b4198c-4b14-49cc-8beb-9042bcb4eee8}" ma:internalName="TaxCatchAll" ma:showField="CatchAllData" ma:web="ac914b5e-6dd4-4de9-b905-57df3d54023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f58d06b-05e3-4c65-85ba-22cd93c7683f">
      <Terms xmlns="http://schemas.microsoft.com/office/infopath/2007/PartnerControls"/>
    </lcf76f155ced4ddcb4097134ff3c332f>
    <TaxCatchAll xmlns="ac914b5e-6dd4-4de9-b905-57df3d54023d" xsi:nil="true"/>
  </documentManagement>
</p:properties>
</file>

<file path=customXml/itemProps1.xml><?xml version="1.0" encoding="utf-8"?>
<ds:datastoreItem xmlns:ds="http://schemas.openxmlformats.org/officeDocument/2006/customXml" ds:itemID="{09331788-7B5A-44B5-81A1-0E848C29A476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FEADC548-F963-41D7-A582-6BCB44E870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f58d06b-05e3-4c65-85ba-22cd93c7683f"/>
    <ds:schemaRef ds:uri="ac914b5e-6dd4-4de9-b905-57df3d5402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F4E4C38-BF52-4BF4-B7C4-8E4875C370B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A619791-D556-4F22-833E-9B506B249334}">
  <ds:schemaRefs>
    <ds:schemaRef ds:uri="http://schemas.microsoft.com/office/2006/metadata/properties"/>
    <ds:schemaRef ds:uri="http://schemas.microsoft.com/office/infopath/2007/PartnerControls"/>
    <ds:schemaRef ds:uri="ff58d06b-05e3-4c65-85ba-22cd93c7683f"/>
    <ds:schemaRef ds:uri="ac914b5e-6dd4-4de9-b905-57df3d54023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37</vt:i4>
      </vt:variant>
    </vt:vector>
  </HeadingPairs>
  <TitlesOfParts>
    <vt:vector size="52" baseType="lpstr">
      <vt:lpstr>Cover</vt:lpstr>
      <vt:lpstr>Navigator</vt:lpstr>
      <vt:lpstr>Style Guide</vt:lpstr>
      <vt:lpstr>Model Parameters</vt:lpstr>
      <vt:lpstr>Timing</vt:lpstr>
      <vt:lpstr>Error Checks</vt:lpstr>
      <vt:lpstr>1D Array</vt:lpstr>
      <vt:lpstr>2D Array</vt:lpstr>
      <vt:lpstr>3D Array</vt:lpstr>
      <vt:lpstr>A</vt:lpstr>
      <vt:lpstr>1</vt:lpstr>
      <vt:lpstr>2</vt:lpstr>
      <vt:lpstr>3</vt:lpstr>
      <vt:lpstr>B</vt:lpstr>
      <vt:lpstr>4D Array</vt:lpstr>
      <vt:lpstr>Client_Name</vt:lpstr>
      <vt:lpstr>Days_in_Year</vt:lpstr>
      <vt:lpstr>Example_Reporting_Month</vt:lpstr>
      <vt:lpstr>HL_1</vt:lpstr>
      <vt:lpstr>HL_10</vt:lpstr>
      <vt:lpstr>HL_11</vt:lpstr>
      <vt:lpstr>HL_12</vt:lpstr>
      <vt:lpstr>HL_13</vt:lpstr>
      <vt:lpstr>HL_14</vt:lpstr>
      <vt:lpstr>HL_15</vt:lpstr>
      <vt:lpstr>HL_3</vt:lpstr>
      <vt:lpstr>HL_4</vt:lpstr>
      <vt:lpstr>HL_5</vt:lpstr>
      <vt:lpstr>HL_6</vt:lpstr>
      <vt:lpstr>'1D Array'!HL_7</vt:lpstr>
      <vt:lpstr>HL_7</vt:lpstr>
      <vt:lpstr>HL_8</vt:lpstr>
      <vt:lpstr>HL_9</vt:lpstr>
      <vt:lpstr>HL_Model_Parameters</vt:lpstr>
      <vt:lpstr>HL_Navigator</vt:lpstr>
      <vt:lpstr>LS_Sheet_Name</vt:lpstr>
      <vt:lpstr>Model_Name</vt:lpstr>
      <vt:lpstr>Model_Start_Date</vt:lpstr>
      <vt:lpstr>Months_in_Half_Yr</vt:lpstr>
      <vt:lpstr>Months_in_Month</vt:lpstr>
      <vt:lpstr>Months_in_Qtr</vt:lpstr>
      <vt:lpstr>Months_in_Year</vt:lpstr>
      <vt:lpstr>'1D Array'!Number_of_Periods</vt:lpstr>
      <vt:lpstr>Number_of_Periods</vt:lpstr>
      <vt:lpstr>Overall_Error_Check</vt:lpstr>
      <vt:lpstr>Periodicity</vt:lpstr>
      <vt:lpstr>Quarters_in_Year</vt:lpstr>
      <vt:lpstr>Reporting_Month_Factor</vt:lpstr>
      <vt:lpstr>Rounding_Accuracy</vt:lpstr>
      <vt:lpstr>Thousand</vt:lpstr>
      <vt:lpstr>Very_Large_Number</vt:lpstr>
      <vt:lpstr>Very_Small_Number</vt:lpstr>
    </vt:vector>
  </TitlesOfParts>
  <Manager/>
  <Company>SumProduct Pty Limited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Liam</dc:creator>
  <cp:keywords/>
  <dc:description/>
  <cp:lastModifiedBy>Sam Ngo</cp:lastModifiedBy>
  <cp:revision/>
  <dcterms:created xsi:type="dcterms:W3CDTF">2012-10-20T20:39:47Z</dcterms:created>
  <dcterms:modified xsi:type="dcterms:W3CDTF">2026-03-09T21:51:48Z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0x01010015FE75ECA439A049B41314814B7E4B57</vt:lpwstr>
  </property>
  <property fmtid="{D5CDD505-2E9C-101B-9397-08002B2CF9AE}" pid="3" name="MediaServiceImageTags">
    <vt:lpwstr/>
  </property>
</Properties>
</file>