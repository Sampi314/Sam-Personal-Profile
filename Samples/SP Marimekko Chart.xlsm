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Chart Development/Marimekko Chart/"/>
    </mc:Choice>
  </mc:AlternateContent>
  <xr:revisionPtr revIDLastSave="833" documentId="8_{C58858CB-6000-447F-9C69-0496D8EA0681}" xr6:coauthVersionLast="47" xr6:coauthVersionMax="47" xr10:uidLastSave="{9CDB5D65-988F-4D9C-A3BA-F23082FDAF6C}"/>
  <bookViews>
    <workbookView xWindow="28680" yWindow="-120" windowWidth="29040" windowHeight="15840" activeTab="4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Marimekko Chart" sheetId="9" r:id="rId5"/>
    <sheet name="Error Checks" sheetId="5" r:id="rId6"/>
  </sheets>
  <definedNames>
    <definedName name="_xlpm.a" hidden="1" xlm="1">#NAME?</definedName>
    <definedName name="_xlpm.c" hidden="1" xlm="1">#NAME?</definedName>
    <definedName name="_xlpm.r" hidden="1" xlm="1">#NAME?</definedName>
    <definedName name="_xlpm.ra" hidden="1" xlm="1">#NAME?</definedName>
    <definedName name="_xlpm.x" hidden="1" xlm="1">#NAME?</definedName>
    <definedName name="_xlpm.y" hidden="1" xlm="1">#NAME?</definedName>
    <definedName name="Client_Name">'Model Parameters'!$G$12</definedName>
    <definedName name="Days_in_Year">'Model Parameters'!$G$19</definedName>
    <definedName name="Days_in_Yr">'Model Parameters'!$G$19</definedName>
    <definedName name="Example_Reporting_Month">#REF!</definedName>
    <definedName name="HL_1">Cover!$A$3</definedName>
    <definedName name="HL_2">#REF!</definedName>
    <definedName name="HL_3">'Style Guide'!$A$3</definedName>
    <definedName name="HL_4">'Model Parameters'!$A$3</definedName>
    <definedName name="HL_5">#REF!</definedName>
    <definedName name="HL_6">'Marimekko Chart'!$A$3</definedName>
    <definedName name="HL_7">'Error Checks'!$A$3</definedName>
    <definedName name="HL_Model_Parameters">'Model Parameters'!$A$5</definedName>
    <definedName name="HL_Navigator">Navigator!$A$1</definedName>
    <definedName name="Model_Name">'Model Parameters'!$G$11</definedName>
    <definedName name="Model_Start_Date">#REF!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Quarter">'Model Parameters'!$G$21</definedName>
    <definedName name="Months_in_Year">'Model Parameters'!$G$23</definedName>
    <definedName name="Months_Per_Year">#REF!</definedName>
    <definedName name="Overall_Error_Check">'Error Checks'!$I$17</definedName>
    <definedName name="Periodicity">#REF!</definedName>
    <definedName name="Quarters_in_Year">'Model Parameters'!$G$24</definedName>
    <definedName name="Reporting_Month_Factor">#REF!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" i="9" l="1" a="1"/>
  <c r="E25" i="9" s="1"/>
  <c r="G25" i="9" s="1" a="1"/>
  <c r="G25" i="9" s="1"/>
  <c r="J25" i="9" s="1" a="1"/>
  <c r="J25" i="9" s="1"/>
  <c r="L50" i="9"/>
  <c r="L51" i="9"/>
  <c r="L52" i="9"/>
  <c r="L53" i="9"/>
  <c r="K25" i="9" l="1" a="1"/>
  <c r="K25" i="9" s="1"/>
  <c r="M25" i="9" a="1"/>
  <c r="M25" i="9" s="1"/>
  <c r="I25" i="9" a="1"/>
  <c r="I25" i="9" s="1"/>
  <c r="L25" i="9" a="1"/>
  <c r="L25" i="9" s="1"/>
  <c r="F25" i="9" a="1"/>
  <c r="F25" i="9" s="1"/>
  <c r="E49" i="9" a="1"/>
  <c r="E49" i="9" s="1"/>
  <c r="L49" i="9"/>
  <c r="F49" i="9" l="1" a="1"/>
  <c r="F49" i="9" s="1"/>
  <c r="H25" i="9" a="1"/>
  <c r="H25" i="9" s="1"/>
  <c r="L54" i="9"/>
  <c r="I24" i="9"/>
  <c r="J24" i="9"/>
  <c r="K24" i="9"/>
  <c r="L24" i="9"/>
  <c r="M24" i="9"/>
  <c r="B6" i="9"/>
  <c r="A1" i="9"/>
  <c r="C6" i="9" s="1"/>
  <c r="A1" i="5" l="1"/>
  <c r="I37" i="4" l="1"/>
  <c r="A1" i="2" l="1"/>
  <c r="E17" i="5"/>
  <c r="I17" i="5"/>
  <c r="F4" i="9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F4" i="5" l="1"/>
  <c r="I4" i="2"/>
  <c r="A2" i="9"/>
  <c r="G4" i="3"/>
  <c r="I4" i="4"/>
  <c r="A2" i="2"/>
  <c r="A2" i="5"/>
  <c r="B56" i="4"/>
  <c r="A2" i="4"/>
  <c r="A2" i="3"/>
  <c r="C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<sst xmlns="http://schemas.openxmlformats.org/spreadsheetml/2006/main" count="139" uniqueCount="109">
  <si>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</si>
  <si>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</si>
  <si>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</si>
  <si>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</si>
  <si>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</si>
  <si>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</si>
  <si>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</si>
  <si>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</si>
  <si>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</si>
  <si>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</si>
  <si>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</si>
  <si>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</si>
  <si>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</si>
  <si>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</si>
  <si>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</si>
  <si>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</si>
  <si>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</si>
  <si>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</si>
  <si>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</si>
  <si>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</si>
  <si>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</si>
  <si>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</si>
  <si>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</si>
  <si>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</si>
  <si>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</si>
  <si>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</si>
  <si>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</si>
  <si>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</si>
  <si>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</si>
  <si>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</si>
  <si>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</si>
  <si>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</si>
  <si>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</si>
  <si>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</si>
  <si>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</si>
  <si>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</si>
  <si>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</si>
  <si>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</si>
  <si>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</si>
  <si>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</si>
  <si>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</si>
  <si>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</si>
  <si>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</si>
  <si>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</si>
  <si>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</si>
  <si>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</si>
  <si>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</si>
  <si>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</si>
  <si>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</si>
  <si>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</si>
  <si>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</si>
  <si>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</si>
  <si>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</si>
  <si>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</si>
  <si>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</si>
  <si>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</si>
  <si>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</si>
  <si>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</si>
  <si>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</si>
  <si>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</si>
  <si>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</si>
  <si>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</si>
  <si>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</si>
  <si>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</si>
  <si>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</si>
  <si>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</si>
  <si>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</si>
  <si>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</si>
  <si>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</si>
  <si>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Timing</t>
  </si>
  <si>
    <t>SumProduct Pty Limited</t>
  </si>
  <si>
    <t>Primary Developer:  Sam Ngo</t>
  </si>
  <si>
    <t>sam.ngo@sumproduct.com</t>
  </si>
  <si>
    <t>A</t>
  </si>
  <si>
    <t>B</t>
  </si>
  <si>
    <t>Markets</t>
  </si>
  <si>
    <t>Market 1</t>
  </si>
  <si>
    <t>Market 2</t>
  </si>
  <si>
    <t>Market 3</t>
  </si>
  <si>
    <t>Market 4</t>
  </si>
  <si>
    <t>Market 5</t>
  </si>
  <si>
    <t>Market 6</t>
  </si>
  <si>
    <t>Market Share</t>
  </si>
  <si>
    <t>C</t>
  </si>
  <si>
    <t>D</t>
  </si>
  <si>
    <t>E</t>
  </si>
  <si>
    <t>Market Share added up to 100</t>
  </si>
  <si>
    <t>All 5 Products in 1 market added up to 100</t>
  </si>
  <si>
    <t>Data</t>
  </si>
  <si>
    <t>Chart Data</t>
  </si>
  <si>
    <t>Main Table</t>
  </si>
  <si>
    <t>Label Table</t>
  </si>
  <si>
    <t>X Axis</t>
  </si>
  <si>
    <t>Top Label</t>
  </si>
  <si>
    <t>A1</t>
  </si>
  <si>
    <t>B1</t>
  </si>
  <si>
    <t>C1</t>
  </si>
  <si>
    <t>D1</t>
  </si>
  <si>
    <t>E1</t>
  </si>
  <si>
    <t>Top Label Location</t>
  </si>
  <si>
    <t>Marimekko Chart</t>
  </si>
  <si>
    <t>Market Share Flag</t>
  </si>
  <si>
    <t>Market Flag</t>
  </si>
  <si>
    <t>No.</t>
  </si>
  <si>
    <t>Marimekko Chart.</t>
  </si>
  <si>
    <t>Add a one behind the title to make identify label when we merge 2 charts</t>
  </si>
  <si>
    <t>Charts use for combine later</t>
  </si>
  <si>
    <t>Combined Chart</t>
  </si>
  <si>
    <t>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</si>
</sst>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  <numFmt numFmtId="180" formatCode="_-* #,##0.0_-;\-* #,##0.0_-;_-* &quot;-&quot;??_-;_-@_-"/>
  </numFmts>
  <fonts count="33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7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7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8" applyNumberFormat="0" applyAlignment="0"/>
    <xf numFmtId="41" fontId="1" fillId="0" borderId="9" applyNumberFormat="0" applyFont="0" applyFill="0" applyAlignment="0"/>
    <xf numFmtId="168" fontId="1" fillId="0" borderId="10" applyNumberFormat="0" applyFont="0" applyFill="0" applyAlignment="0" applyProtection="0"/>
    <xf numFmtId="0" fontId="6" fillId="0" borderId="0"/>
    <xf numFmtId="0" fontId="32" fillId="0" borderId="11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7">
      <alignment horizontal="center"/>
    </xf>
    <xf numFmtId="41" fontId="5" fillId="8" borderId="8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12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3" applyNumberFormat="0" applyFill="0" applyAlignment="0" applyProtection="0"/>
    <xf numFmtId="0" fontId="19" fillId="0" borderId="14" applyNumberFormat="0" applyFill="0" applyAlignment="0" applyProtection="0"/>
    <xf numFmtId="0" fontId="18" fillId="0" borderId="15" applyNumberFormat="0" applyFill="0" applyAlignment="0" applyProtection="0"/>
    <xf numFmtId="172" fontId="16" fillId="3" borderId="1"/>
  </cellStyleXfs>
  <cellXfs count="59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7" xfId="14">
      <protection locked="0"/>
    </xf>
    <xf numFmtId="0" fontId="12" fillId="0" borderId="0" xfId="0" applyFont="1"/>
    <xf numFmtId="0" fontId="26" fillId="0" borderId="3" xfId="13" applyAlignment="1"/>
    <xf numFmtId="167" fontId="1" fillId="5" borderId="7" xfId="18"/>
    <xf numFmtId="164" fontId="2" fillId="2" borderId="2" xfId="19">
      <alignment horizontal="center"/>
      <protection locked="0"/>
    </xf>
    <xf numFmtId="0" fontId="28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6" fillId="7" borderId="2" xfId="27"/>
    <xf numFmtId="0" fontId="7" fillId="0" borderId="0" xfId="28"/>
    <xf numFmtId="171" fontId="29" fillId="7" borderId="7" xfId="31">
      <alignment horizontal="center"/>
    </xf>
    <xf numFmtId="41" fontId="0" fillId="8" borderId="8" xfId="32" applyFont="1"/>
    <xf numFmtId="0" fontId="30" fillId="0" borderId="0" xfId="34"/>
    <xf numFmtId="0" fontId="31" fillId="9" borderId="12" xfId="35">
      <protection locked="0"/>
    </xf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3" fontId="0" fillId="0" borderId="0" xfId="2" applyNumberFormat="1" applyFont="1"/>
    <xf numFmtId="174" fontId="0" fillId="0" borderId="0" xfId="1" applyNumberFormat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0" fontId="27" fillId="0" borderId="0" xfId="8" applyAlignment="1">
      <protection locked="0"/>
    </xf>
    <xf numFmtId="168" fontId="25" fillId="4" borderId="7" xfId="14" applyNumberFormat="1">
      <protection locked="0"/>
    </xf>
    <xf numFmtId="180" fontId="0" fillId="0" borderId="0" xfId="1" applyNumberFormat="1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4" xfId="13" applyBorder="1" applyAlignment="1">
      <alignment horizontal="left"/>
    </xf>
    <xf numFmtId="0" fontId="26" fillId="0" borderId="5" xfId="13" applyBorder="1" applyAlignment="1">
      <alignment horizontal="left"/>
    </xf>
    <xf numFmtId="0" fontId="26" fillId="0" borderId="6" xfId="13" applyBorder="1" applyAlignment="1">
      <alignment horizontal="left"/>
    </xf>
    <xf numFmtId="0" fontId="25" fillId="4" borderId="7" xfId="14" applyAlignment="1">
      <alignment horizontal="left"/>
      <protection locked="0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9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_(#,##0_);[Red]\(#,##0\);_(\-_);"/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Marimekko</a:t>
            </a:r>
            <a:r>
              <a:rPr lang="en-AU" baseline="0"/>
              <a:t>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280395431854435E-2"/>
          <c:y val="0.1352777777777778"/>
          <c:w val="0.88448243434811291"/>
          <c:h val="0.66998656417947755"/>
        </c:manualLayout>
      </c:layout>
      <c:areaChart>
        <c:grouping val="stacked"/>
        <c:varyColors val="0"/>
        <c:ser>
          <c:idx val="0"/>
          <c:order val="0"/>
          <c:tx>
            <c:strRef>
              <c:f>'Marimekko Chart'!$I$24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Chart'!$I$25:$I$43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21</c:v>
                </c:pt>
                <c:pt idx="5">
                  <c:v>21</c:v>
                </c:pt>
                <c:pt idx="6">
                  <c:v>0</c:v>
                </c:pt>
                <c:pt idx="7">
                  <c:v>20</c:v>
                </c:pt>
                <c:pt idx="8">
                  <c:v>20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  <c:pt idx="12">
                  <c:v>0</c:v>
                </c:pt>
                <c:pt idx="13">
                  <c:v>21</c:v>
                </c:pt>
                <c:pt idx="14">
                  <c:v>21</c:v>
                </c:pt>
                <c:pt idx="15">
                  <c:v>0</c:v>
                </c:pt>
                <c:pt idx="16">
                  <c:v>15</c:v>
                </c:pt>
                <c:pt idx="17">
                  <c:v>15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7-4821-8CC3-879C93BF80A3}"/>
            </c:ext>
          </c:extLst>
        </c:ser>
        <c:ser>
          <c:idx val="1"/>
          <c:order val="1"/>
          <c:tx>
            <c:strRef>
              <c:f>'Marimekko Chart'!$J$24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Chart'!$J$25:$J$43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25</c:v>
                </c:pt>
                <c:pt idx="5">
                  <c:v>25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0</c:v>
                </c:pt>
                <c:pt idx="10">
                  <c:v>13</c:v>
                </c:pt>
                <c:pt idx="11">
                  <c:v>13</c:v>
                </c:pt>
                <c:pt idx="12">
                  <c:v>0</c:v>
                </c:pt>
                <c:pt idx="13">
                  <c:v>11</c:v>
                </c:pt>
                <c:pt idx="14">
                  <c:v>11</c:v>
                </c:pt>
                <c:pt idx="15">
                  <c:v>0</c:v>
                </c:pt>
                <c:pt idx="16">
                  <c:v>12</c:v>
                </c:pt>
                <c:pt idx="17">
                  <c:v>12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7-4821-8CC3-879C93BF80A3}"/>
            </c:ext>
          </c:extLst>
        </c:ser>
        <c:ser>
          <c:idx val="2"/>
          <c:order val="2"/>
          <c:tx>
            <c:strRef>
              <c:f>'Marimekko Chart'!$K$24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Chart'!$K$25:$K$43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0</c:v>
                </c:pt>
                <c:pt idx="4">
                  <c:v>19</c:v>
                </c:pt>
                <c:pt idx="5">
                  <c:v>19</c:v>
                </c:pt>
                <c:pt idx="6">
                  <c:v>0</c:v>
                </c:pt>
                <c:pt idx="7">
                  <c:v>17</c:v>
                </c:pt>
                <c:pt idx="8">
                  <c:v>17</c:v>
                </c:pt>
                <c:pt idx="9">
                  <c:v>0</c:v>
                </c:pt>
                <c:pt idx="10">
                  <c:v>22</c:v>
                </c:pt>
                <c:pt idx="11">
                  <c:v>22</c:v>
                </c:pt>
                <c:pt idx="12">
                  <c:v>0</c:v>
                </c:pt>
                <c:pt idx="13">
                  <c:v>21</c:v>
                </c:pt>
                <c:pt idx="14">
                  <c:v>21</c:v>
                </c:pt>
                <c:pt idx="15">
                  <c:v>0</c:v>
                </c:pt>
                <c:pt idx="16">
                  <c:v>22</c:v>
                </c:pt>
                <c:pt idx="17">
                  <c:v>22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47-4821-8CC3-879C93BF80A3}"/>
            </c:ext>
          </c:extLst>
        </c:ser>
        <c:ser>
          <c:idx val="3"/>
          <c:order val="3"/>
          <c:tx>
            <c:strRef>
              <c:f>'Marimekko Chart'!$L$24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Chart'!$L$25:$L$43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23</c:v>
                </c:pt>
                <c:pt idx="2">
                  <c:v>23</c:v>
                </c:pt>
                <c:pt idx="3">
                  <c:v>0</c:v>
                </c:pt>
                <c:pt idx="4">
                  <c:v>10</c:v>
                </c:pt>
                <c:pt idx="5">
                  <c:v>10</c:v>
                </c:pt>
                <c:pt idx="6">
                  <c:v>0</c:v>
                </c:pt>
                <c:pt idx="7">
                  <c:v>17</c:v>
                </c:pt>
                <c:pt idx="8">
                  <c:v>17</c:v>
                </c:pt>
                <c:pt idx="9">
                  <c:v>0</c:v>
                </c:pt>
                <c:pt idx="10">
                  <c:v>14</c:v>
                </c:pt>
                <c:pt idx="11">
                  <c:v>14</c:v>
                </c:pt>
                <c:pt idx="12">
                  <c:v>0</c:v>
                </c:pt>
                <c:pt idx="13">
                  <c:v>19</c:v>
                </c:pt>
                <c:pt idx="14">
                  <c:v>19</c:v>
                </c:pt>
                <c:pt idx="15">
                  <c:v>0</c:v>
                </c:pt>
                <c:pt idx="16">
                  <c:v>22</c:v>
                </c:pt>
                <c:pt idx="17">
                  <c:v>22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7-4821-8CC3-879C93BF80A3}"/>
            </c:ext>
          </c:extLst>
        </c:ser>
        <c:ser>
          <c:idx val="4"/>
          <c:order val="4"/>
          <c:tx>
            <c:strRef>
              <c:f>'Marimekko Chart'!$M$24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tx1"/>
              </a:solidFill>
            </a:ln>
            <a:effectLst/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Chart'!$M$25:$M$43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25</c:v>
                </c:pt>
                <c:pt idx="5">
                  <c:v>25</c:v>
                </c:pt>
                <c:pt idx="6">
                  <c:v>0</c:v>
                </c:pt>
                <c:pt idx="7">
                  <c:v>36</c:v>
                </c:pt>
                <c:pt idx="8">
                  <c:v>36</c:v>
                </c:pt>
                <c:pt idx="9">
                  <c:v>0</c:v>
                </c:pt>
                <c:pt idx="10">
                  <c:v>27</c:v>
                </c:pt>
                <c:pt idx="11">
                  <c:v>27</c:v>
                </c:pt>
                <c:pt idx="12">
                  <c:v>0</c:v>
                </c:pt>
                <c:pt idx="13">
                  <c:v>28</c:v>
                </c:pt>
                <c:pt idx="14">
                  <c:v>28</c:v>
                </c:pt>
                <c:pt idx="15">
                  <c:v>0</c:v>
                </c:pt>
                <c:pt idx="16">
                  <c:v>29</c:v>
                </c:pt>
                <c:pt idx="17">
                  <c:v>29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47-4821-8CC3-879C93BF8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282304"/>
        <c:axId val="1046279904"/>
      </c:areaChart>
      <c:dateAx>
        <c:axId val="1046282304"/>
        <c:scaling>
          <c:orientation val="minMax"/>
        </c:scaling>
        <c:delete val="0"/>
        <c:axPos val="b"/>
        <c:numFmt formatCode="_(#,##0_);[Red]\(#,##0\);_(\-_)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279904"/>
        <c:crosses val="autoZero"/>
        <c:auto val="0"/>
        <c:lblOffset val="100"/>
        <c:baseTimeUnit val="days"/>
        <c:majorUnit val="20"/>
        <c:majorTimeUnit val="days"/>
      </c:dateAx>
      <c:valAx>
        <c:axId val="104627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#,##0_);[Red]\(#,##0\);_(\-_)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28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Label</a:t>
            </a:r>
            <a:r>
              <a:rPr lang="en-AU" baseline="0"/>
              <a:t> Chart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'Marimekko Chart'!$F$48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Chart'!$F$49:$F$54</c:f>
              <c:numCache>
                <c:formatCode>_-* #,##0.0_-;\-* #,##0.0_-;_-* "-"??_-;_-@_-</c:formatCode>
                <c:ptCount val="6"/>
                <c:pt idx="0">
                  <c:v>10</c:v>
                </c:pt>
                <c:pt idx="1">
                  <c:v>10.5</c:v>
                </c:pt>
                <c:pt idx="2">
                  <c:v>10</c:v>
                </c:pt>
                <c:pt idx="3">
                  <c:v>12</c:v>
                </c:pt>
                <c:pt idx="4">
                  <c:v>10.5</c:v>
                </c:pt>
                <c:pt idx="5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8-4F56-A547-479BEB5D917C}"/>
            </c:ext>
          </c:extLst>
        </c:ser>
        <c:ser>
          <c:idx val="1"/>
          <c:order val="1"/>
          <c:tx>
            <c:strRef>
              <c:f>'Marimekko Chart'!$G$48</c:f>
              <c:strCache>
                <c:ptCount val="1"/>
                <c:pt idx="0">
                  <c:v>B1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Chart'!$G$49:$G$54</c:f>
              <c:numCache>
                <c:formatCode>_-* #,##0.0_-;\-* #,##0.0_-;_-* "-"??_-;_-@_-</c:formatCode>
                <c:ptCount val="6"/>
                <c:pt idx="0">
                  <c:v>27</c:v>
                </c:pt>
                <c:pt idx="1">
                  <c:v>33.5</c:v>
                </c:pt>
                <c:pt idx="2">
                  <c:v>25</c:v>
                </c:pt>
                <c:pt idx="3">
                  <c:v>30.5</c:v>
                </c:pt>
                <c:pt idx="4">
                  <c:v>26.5</c:v>
                </c:pt>
                <c:pt idx="5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8-4F56-A547-479BEB5D917C}"/>
            </c:ext>
          </c:extLst>
        </c:ser>
        <c:ser>
          <c:idx val="2"/>
          <c:order val="2"/>
          <c:tx>
            <c:strRef>
              <c:f>'Marimekko Chart'!$H$48</c:f>
              <c:strCache>
                <c:ptCount val="1"/>
                <c:pt idx="0">
                  <c:v>C1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Chart'!$H$49:$H$54</c:f>
              <c:numCache>
                <c:formatCode>_-* #,##0.0_-;\-* #,##0.0_-;_-* "-"??_-;_-@_-</c:formatCode>
                <c:ptCount val="6"/>
                <c:pt idx="0">
                  <c:v>46.5</c:v>
                </c:pt>
                <c:pt idx="1">
                  <c:v>55.5</c:v>
                </c:pt>
                <c:pt idx="2">
                  <c:v>38.5</c:v>
                </c:pt>
                <c:pt idx="3">
                  <c:v>48</c:v>
                </c:pt>
                <c:pt idx="4">
                  <c:v>42.5</c:v>
                </c:pt>
                <c:pt idx="5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F8-4F56-A547-479BEB5D917C}"/>
            </c:ext>
          </c:extLst>
        </c:ser>
        <c:ser>
          <c:idx val="3"/>
          <c:order val="3"/>
          <c:tx>
            <c:strRef>
              <c:f>'Marimekko Chart'!$I$48</c:f>
              <c:strCache>
                <c:ptCount val="1"/>
                <c:pt idx="0">
                  <c:v>D1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Chart'!$I$49:$I$54</c:f>
              <c:numCache>
                <c:formatCode>_-* #,##0.0_-;\-* #,##0.0_-;_-* "-"??_-;_-@_-</c:formatCode>
                <c:ptCount val="6"/>
                <c:pt idx="0">
                  <c:v>70.5</c:v>
                </c:pt>
                <c:pt idx="1">
                  <c:v>70</c:v>
                </c:pt>
                <c:pt idx="2">
                  <c:v>55.5</c:v>
                </c:pt>
                <c:pt idx="3">
                  <c:v>66</c:v>
                </c:pt>
                <c:pt idx="4">
                  <c:v>62.5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F8-4F56-A547-479BEB5D917C}"/>
            </c:ext>
          </c:extLst>
        </c:ser>
        <c:ser>
          <c:idx val="4"/>
          <c:order val="4"/>
          <c:tx>
            <c:strRef>
              <c:f>'Marimekko Chart'!$J$48</c:f>
              <c:strCache>
                <c:ptCount val="1"/>
                <c:pt idx="0">
                  <c:v>E1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Chart'!$J$49:$J$54</c:f>
              <c:numCache>
                <c:formatCode>_-* #,##0.0_-;\-* #,##0.0_-;_-* "-"??_-;_-@_-</c:formatCode>
                <c:ptCount val="6"/>
                <c:pt idx="0">
                  <c:v>91</c:v>
                </c:pt>
                <c:pt idx="1">
                  <c:v>87.5</c:v>
                </c:pt>
                <c:pt idx="2">
                  <c:v>82</c:v>
                </c:pt>
                <c:pt idx="3">
                  <c:v>86.5</c:v>
                </c:pt>
                <c:pt idx="4">
                  <c:v>86</c:v>
                </c:pt>
                <c:pt idx="5">
                  <c:v>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F8-4F56-A547-479BEB5D917C}"/>
            </c:ext>
          </c:extLst>
        </c:ser>
        <c:ser>
          <c:idx val="5"/>
          <c:order val="5"/>
          <c:tx>
            <c:strRef>
              <c:f>'Marimekko Chart'!$K$48</c:f>
              <c:strCache>
                <c:ptCount val="1"/>
                <c:pt idx="0">
                  <c:v>Top Label Location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Chart'!$K$49:$K$54</c:f>
              <c:numCache>
                <c:formatCode>_(#,##0_);[Red]\(#,##0\);_(\-_);</c:formatCode>
                <c:ptCount val="6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F8-4F56-A547-479BEB5D9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48592"/>
        <c:axId val="1360520272"/>
      </c:scatterChart>
      <c:valAx>
        <c:axId val="192084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520272"/>
        <c:crosses val="autoZero"/>
        <c:crossBetween val="midCat"/>
      </c:valAx>
      <c:valAx>
        <c:axId val="13605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84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Marimekko</a:t>
            </a:r>
            <a:r>
              <a:rPr lang="en-AU" baseline="0"/>
              <a:t> Chart</a:t>
            </a:r>
            <a:endParaRPr lang="en-A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1033913182598464E-2"/>
          <c:y val="0.11696666666666666"/>
          <c:w val="0.95688481279214066"/>
          <c:h val="0.72278871391076116"/>
        </c:manualLayout>
      </c:layout>
      <c:areaChart>
        <c:grouping val="stacked"/>
        <c:varyColors val="0"/>
        <c:ser>
          <c:idx val="6"/>
          <c:order val="0"/>
          <c:tx>
            <c:strRef>
              <c:f>'Marimekko Chart'!$I$24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Chart'!$I$25:$I$43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21</c:v>
                </c:pt>
                <c:pt idx="5">
                  <c:v>21</c:v>
                </c:pt>
                <c:pt idx="6">
                  <c:v>0</c:v>
                </c:pt>
                <c:pt idx="7">
                  <c:v>20</c:v>
                </c:pt>
                <c:pt idx="8">
                  <c:v>20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  <c:pt idx="12">
                  <c:v>0</c:v>
                </c:pt>
                <c:pt idx="13">
                  <c:v>21</c:v>
                </c:pt>
                <c:pt idx="14">
                  <c:v>21</c:v>
                </c:pt>
                <c:pt idx="15">
                  <c:v>0</c:v>
                </c:pt>
                <c:pt idx="16">
                  <c:v>15</c:v>
                </c:pt>
                <c:pt idx="17">
                  <c:v>15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119-4B96-BC1D-48CAA6B1B1CB}"/>
            </c:ext>
          </c:extLst>
        </c:ser>
        <c:ser>
          <c:idx val="7"/>
          <c:order val="1"/>
          <c:tx>
            <c:strRef>
              <c:f>'Marimekko Chart'!$J$24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Chart'!$J$25:$J$43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25</c:v>
                </c:pt>
                <c:pt idx="5">
                  <c:v>25</c:v>
                </c:pt>
                <c:pt idx="6">
                  <c:v>0</c:v>
                </c:pt>
                <c:pt idx="7">
                  <c:v>10</c:v>
                </c:pt>
                <c:pt idx="8">
                  <c:v>10</c:v>
                </c:pt>
                <c:pt idx="9">
                  <c:v>0</c:v>
                </c:pt>
                <c:pt idx="10">
                  <c:v>13</c:v>
                </c:pt>
                <c:pt idx="11">
                  <c:v>13</c:v>
                </c:pt>
                <c:pt idx="12">
                  <c:v>0</c:v>
                </c:pt>
                <c:pt idx="13">
                  <c:v>11</c:v>
                </c:pt>
                <c:pt idx="14">
                  <c:v>11</c:v>
                </c:pt>
                <c:pt idx="15">
                  <c:v>0</c:v>
                </c:pt>
                <c:pt idx="16">
                  <c:v>12</c:v>
                </c:pt>
                <c:pt idx="17">
                  <c:v>12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119-4B96-BC1D-48CAA6B1B1CB}"/>
            </c:ext>
          </c:extLst>
        </c:ser>
        <c:ser>
          <c:idx val="8"/>
          <c:order val="2"/>
          <c:tx>
            <c:strRef>
              <c:f>'Marimekko Chart'!$K$24</c:f>
              <c:strCache>
                <c:ptCount val="1"/>
                <c:pt idx="0">
                  <c:v>C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Chart'!$K$25:$K$43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0</c:v>
                </c:pt>
                <c:pt idx="4">
                  <c:v>19</c:v>
                </c:pt>
                <c:pt idx="5">
                  <c:v>19</c:v>
                </c:pt>
                <c:pt idx="6">
                  <c:v>0</c:v>
                </c:pt>
                <c:pt idx="7">
                  <c:v>17</c:v>
                </c:pt>
                <c:pt idx="8">
                  <c:v>17</c:v>
                </c:pt>
                <c:pt idx="9">
                  <c:v>0</c:v>
                </c:pt>
                <c:pt idx="10">
                  <c:v>22</c:v>
                </c:pt>
                <c:pt idx="11">
                  <c:v>22</c:v>
                </c:pt>
                <c:pt idx="12">
                  <c:v>0</c:v>
                </c:pt>
                <c:pt idx="13">
                  <c:v>21</c:v>
                </c:pt>
                <c:pt idx="14">
                  <c:v>21</c:v>
                </c:pt>
                <c:pt idx="15">
                  <c:v>0</c:v>
                </c:pt>
                <c:pt idx="16">
                  <c:v>22</c:v>
                </c:pt>
                <c:pt idx="17">
                  <c:v>22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119-4B96-BC1D-48CAA6B1B1CB}"/>
            </c:ext>
          </c:extLst>
        </c:ser>
        <c:ser>
          <c:idx val="9"/>
          <c:order val="3"/>
          <c:tx>
            <c:strRef>
              <c:f>'Marimekko Chart'!$L$24</c:f>
              <c:strCache>
                <c:ptCount val="1"/>
                <c:pt idx="0">
                  <c:v>D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Chart'!$L$25:$L$43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23</c:v>
                </c:pt>
                <c:pt idx="2">
                  <c:v>23</c:v>
                </c:pt>
                <c:pt idx="3">
                  <c:v>0</c:v>
                </c:pt>
                <c:pt idx="4">
                  <c:v>10</c:v>
                </c:pt>
                <c:pt idx="5">
                  <c:v>10</c:v>
                </c:pt>
                <c:pt idx="6">
                  <c:v>0</c:v>
                </c:pt>
                <c:pt idx="7">
                  <c:v>17</c:v>
                </c:pt>
                <c:pt idx="8">
                  <c:v>17</c:v>
                </c:pt>
                <c:pt idx="9">
                  <c:v>0</c:v>
                </c:pt>
                <c:pt idx="10">
                  <c:v>14</c:v>
                </c:pt>
                <c:pt idx="11">
                  <c:v>14</c:v>
                </c:pt>
                <c:pt idx="12">
                  <c:v>0</c:v>
                </c:pt>
                <c:pt idx="13">
                  <c:v>19</c:v>
                </c:pt>
                <c:pt idx="14">
                  <c:v>19</c:v>
                </c:pt>
                <c:pt idx="15">
                  <c:v>0</c:v>
                </c:pt>
                <c:pt idx="16">
                  <c:v>22</c:v>
                </c:pt>
                <c:pt idx="17">
                  <c:v>22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119-4B96-BC1D-48CAA6B1B1CB}"/>
            </c:ext>
          </c:extLst>
        </c:ser>
        <c:ser>
          <c:idx val="10"/>
          <c:order val="4"/>
          <c:tx>
            <c:strRef>
              <c:f>'Marimekko Chart'!$M$24</c:f>
              <c:strCache>
                <c:ptCount val="1"/>
                <c:pt idx="0">
                  <c:v>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cat>
            <c:numRef>
              <c:f>'Marimekko Chart'!$H$25:$H$43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100</c:v>
                </c:pt>
                <c:pt idx="18">
                  <c:v>100</c:v>
                </c:pt>
              </c:numCache>
            </c:numRef>
          </c:cat>
          <c:val>
            <c:numRef>
              <c:f>'Marimekko Chart'!$M$25:$M$43</c:f>
              <c:numCache>
                <c:formatCode>_(#,##0_);[Red]\(#,##0\);_(\-_);</c:formatCode>
                <c:ptCount val="19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25</c:v>
                </c:pt>
                <c:pt idx="5">
                  <c:v>25</c:v>
                </c:pt>
                <c:pt idx="6">
                  <c:v>0</c:v>
                </c:pt>
                <c:pt idx="7">
                  <c:v>36</c:v>
                </c:pt>
                <c:pt idx="8">
                  <c:v>36</c:v>
                </c:pt>
                <c:pt idx="9">
                  <c:v>0</c:v>
                </c:pt>
                <c:pt idx="10">
                  <c:v>27</c:v>
                </c:pt>
                <c:pt idx="11">
                  <c:v>27</c:v>
                </c:pt>
                <c:pt idx="12">
                  <c:v>0</c:v>
                </c:pt>
                <c:pt idx="13">
                  <c:v>28</c:v>
                </c:pt>
                <c:pt idx="14">
                  <c:v>28</c:v>
                </c:pt>
                <c:pt idx="15">
                  <c:v>0</c:v>
                </c:pt>
                <c:pt idx="16">
                  <c:v>29</c:v>
                </c:pt>
                <c:pt idx="17">
                  <c:v>29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119-4B96-BC1D-48CAA6B1B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48592"/>
        <c:axId val="1360520272"/>
      </c:areaChart>
      <c:scatterChart>
        <c:scatterStyle val="lineMarker"/>
        <c:varyColors val="0"/>
        <c:ser>
          <c:idx val="0"/>
          <c:order val="5"/>
          <c:tx>
            <c:strRef>
              <c:f>'Marimekko Chart'!$F$48</c:f>
              <c:strCache>
                <c:ptCount val="1"/>
                <c:pt idx="0">
                  <c:v>A1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67C8AC-8589-49F3-B0B4-E3E9F8A582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E6C5E2-74C6-4937-99A3-19CD6ACC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B4AA14-2E8A-4774-966E-51540B31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9D1F67-591F-40CF-B130-5EB4E08F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D73165-F2C4-492E-A825-4C3DAA13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243FEB-B45E-4A3E-8AC4-F51E785D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Chart'!$F$49:$F$54</c:f>
              <c:numCache>
                <c:formatCode>_-* #,##0.0_-;\-* #,##0.0_-;_-* "-"??_-;_-@_-</c:formatCode>
                <c:ptCount val="6"/>
                <c:pt idx="0">
                  <c:v>10</c:v>
                </c:pt>
                <c:pt idx="1">
                  <c:v>10.5</c:v>
                </c:pt>
                <c:pt idx="2">
                  <c:v>10</c:v>
                </c:pt>
                <c:pt idx="3">
                  <c:v>12</c:v>
                </c:pt>
                <c:pt idx="4">
                  <c:v>10.5</c:v>
                </c:pt>
                <c:pt idx="5">
                  <c:v>7.5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Chart'!$F$11:$F$16</c15:f>
                <c15:dlblRangeCache>
                  <c:ptCount val="6"/>
                  <c:pt idx="0">
                    <c:v> 20 </c:v>
                  </c:pt>
                  <c:pt idx="1">
                    <c:v> 21 </c:v>
                  </c:pt>
                  <c:pt idx="2">
                    <c:v> 20 </c:v>
                  </c:pt>
                  <c:pt idx="3">
                    <c:v> 24 </c:v>
                  </c:pt>
                  <c:pt idx="4">
                    <c:v> 21 </c:v>
                  </c:pt>
                  <c:pt idx="5">
                    <c:v> 15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119-4B96-BC1D-48CAA6B1B1CB}"/>
            </c:ext>
          </c:extLst>
        </c:ser>
        <c:ser>
          <c:idx val="1"/>
          <c:order val="6"/>
          <c:tx>
            <c:strRef>
              <c:f>'Marimekko Chart'!$G$48</c:f>
              <c:strCache>
                <c:ptCount val="1"/>
                <c:pt idx="0">
                  <c:v>B1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71AD85-E857-4783-B5B3-11B3942748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0AA84B-92B2-419D-9FC0-44CE9994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15F9C5-76E3-4972-81FF-2112B54A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6529EF-2DA9-4E09-86BF-5E498D80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9CE00D-1A5B-4936-8E9C-7EE3D260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C0CE5A-8420-4410-9517-0FA885D5D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Chart'!$G$49:$G$54</c:f>
              <c:numCache>
                <c:formatCode>_-* #,##0.0_-;\-* #,##0.0_-;_-* "-"??_-;_-@_-</c:formatCode>
                <c:ptCount val="6"/>
                <c:pt idx="0">
                  <c:v>27</c:v>
                </c:pt>
                <c:pt idx="1">
                  <c:v>33.5</c:v>
                </c:pt>
                <c:pt idx="2">
                  <c:v>25</c:v>
                </c:pt>
                <c:pt idx="3">
                  <c:v>30.5</c:v>
                </c:pt>
                <c:pt idx="4">
                  <c:v>26.5</c:v>
                </c:pt>
                <c:pt idx="5">
                  <c:v>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Chart'!$G$11:$G$16</c15:f>
                <c15:dlblRangeCache>
                  <c:ptCount val="6"/>
                  <c:pt idx="0">
                    <c:v> 14 </c:v>
                  </c:pt>
                  <c:pt idx="1">
                    <c:v> 25 </c:v>
                  </c:pt>
                  <c:pt idx="2">
                    <c:v> 10 </c:v>
                  </c:pt>
                  <c:pt idx="3">
                    <c:v> 13 </c:v>
                  </c:pt>
                  <c:pt idx="4">
                    <c:v> 11 </c:v>
                  </c:pt>
                  <c:pt idx="5">
                    <c:v> 12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D119-4B96-BC1D-48CAA6B1B1CB}"/>
            </c:ext>
          </c:extLst>
        </c:ser>
        <c:ser>
          <c:idx val="2"/>
          <c:order val="7"/>
          <c:tx>
            <c:strRef>
              <c:f>'Marimekko Chart'!$H$48</c:f>
              <c:strCache>
                <c:ptCount val="1"/>
                <c:pt idx="0">
                  <c:v>C1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833C64E-6A1E-441D-AB59-4A1F54772C1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1A6311-A995-429A-883E-4991C9305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C50448-6991-4387-A031-1C738BD1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68A039-F94F-4212-9010-3312EC7C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8C7205-5CE9-49F1-A8F4-D7CF3236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E17DDE-C9ED-402C-84C2-2D313BBB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Chart'!$H$49:$H$54</c:f>
              <c:numCache>
                <c:formatCode>_-* #,##0.0_-;\-* #,##0.0_-;_-* "-"??_-;_-@_-</c:formatCode>
                <c:ptCount val="6"/>
                <c:pt idx="0">
                  <c:v>46.5</c:v>
                </c:pt>
                <c:pt idx="1">
                  <c:v>55.5</c:v>
                </c:pt>
                <c:pt idx="2">
                  <c:v>38.5</c:v>
                </c:pt>
                <c:pt idx="3">
                  <c:v>48</c:v>
                </c:pt>
                <c:pt idx="4">
                  <c:v>42.5</c:v>
                </c:pt>
                <c:pt idx="5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Chart'!$H$11:$H$16</c15:f>
                <c15:dlblRangeCache>
                  <c:ptCount val="6"/>
                  <c:pt idx="0">
                    <c:v> 25 </c:v>
                  </c:pt>
                  <c:pt idx="1">
                    <c:v> 19 </c:v>
                  </c:pt>
                  <c:pt idx="2">
                    <c:v> 17 </c:v>
                  </c:pt>
                  <c:pt idx="3">
                    <c:v> 22 </c:v>
                  </c:pt>
                  <c:pt idx="4">
                    <c:v> 21 </c:v>
                  </c:pt>
                  <c:pt idx="5">
                    <c:v> 22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D119-4B96-BC1D-48CAA6B1B1CB}"/>
            </c:ext>
          </c:extLst>
        </c:ser>
        <c:ser>
          <c:idx val="3"/>
          <c:order val="8"/>
          <c:tx>
            <c:strRef>
              <c:f>'Marimekko Chart'!$I$48</c:f>
              <c:strCache>
                <c:ptCount val="1"/>
                <c:pt idx="0">
                  <c:v>D1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54B916-E5CF-4C37-9F03-EB2FF6C640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56417A-0C99-47F0-9DE2-A709112C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9A823C-096B-416F-BD00-FDBE92ED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9748F9-A6E4-4BF8-9C84-DD0B719A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3093C2-DBCB-4B72-990E-DC1F924C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884930-3470-4F78-B9A1-A4D390F5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Chart'!$I$49:$I$54</c:f>
              <c:numCache>
                <c:formatCode>_-* #,##0.0_-;\-* #,##0.0_-;_-* "-"??_-;_-@_-</c:formatCode>
                <c:ptCount val="6"/>
                <c:pt idx="0">
                  <c:v>70.5</c:v>
                </c:pt>
                <c:pt idx="1">
                  <c:v>70</c:v>
                </c:pt>
                <c:pt idx="2">
                  <c:v>55.5</c:v>
                </c:pt>
                <c:pt idx="3">
                  <c:v>66</c:v>
                </c:pt>
                <c:pt idx="4">
                  <c:v>62.5</c:v>
                </c:pt>
                <c:pt idx="5">
                  <c:v>60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Chart'!$I$11:$I$16</c15:f>
                <c15:dlblRangeCache>
                  <c:ptCount val="6"/>
                  <c:pt idx="0">
                    <c:v> 23 </c:v>
                  </c:pt>
                  <c:pt idx="1">
                    <c:v> 10 </c:v>
                  </c:pt>
                  <c:pt idx="2">
                    <c:v> 17 </c:v>
                  </c:pt>
                  <c:pt idx="3">
                    <c:v> 14 </c:v>
                  </c:pt>
                  <c:pt idx="4">
                    <c:v> 19 </c:v>
                  </c:pt>
                  <c:pt idx="5">
                    <c:v> 22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D119-4B96-BC1D-48CAA6B1B1CB}"/>
            </c:ext>
          </c:extLst>
        </c:ser>
        <c:ser>
          <c:idx val="4"/>
          <c:order val="9"/>
          <c:tx>
            <c:strRef>
              <c:f>'Marimekko Chart'!$J$48</c:f>
              <c:strCache>
                <c:ptCount val="1"/>
                <c:pt idx="0">
                  <c:v>E1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1604CE-1911-4A12-BEE6-828237CD21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2FFA9D-B44A-4704-8BD7-C42EA814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9E684A-6872-4FC5-9841-7D92EB59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EC024B-159D-4312-97C8-DECAABF8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2DBA97-7CC3-4FA2-AFFF-E3E6C21D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4DA12E-D0C0-4B7F-87D8-42C0853B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Chart'!$J$49:$J$54</c:f>
              <c:numCache>
                <c:formatCode>_-* #,##0.0_-;\-* #,##0.0_-;_-* "-"??_-;_-@_-</c:formatCode>
                <c:ptCount val="6"/>
                <c:pt idx="0">
                  <c:v>91</c:v>
                </c:pt>
                <c:pt idx="1">
                  <c:v>87.5</c:v>
                </c:pt>
                <c:pt idx="2">
                  <c:v>82</c:v>
                </c:pt>
                <c:pt idx="3">
                  <c:v>86.5</c:v>
                </c:pt>
                <c:pt idx="4">
                  <c:v>86</c:v>
                </c:pt>
                <c:pt idx="5">
                  <c:v>85.5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Chart'!$J$11:$J$16</c15:f>
                <c15:dlblRangeCache>
                  <c:ptCount val="6"/>
                  <c:pt idx="0">
                    <c:v> 18 </c:v>
                  </c:pt>
                  <c:pt idx="1">
                    <c:v> 25 </c:v>
                  </c:pt>
                  <c:pt idx="2">
                    <c:v> 36 </c:v>
                  </c:pt>
                  <c:pt idx="3">
                    <c:v> 27 </c:v>
                  </c:pt>
                  <c:pt idx="4">
                    <c:v> 28 </c:v>
                  </c:pt>
                  <c:pt idx="5">
                    <c:v> 29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D119-4B96-BC1D-48CAA6B1B1CB}"/>
            </c:ext>
          </c:extLst>
        </c:ser>
        <c:ser>
          <c:idx val="5"/>
          <c:order val="10"/>
          <c:tx>
            <c:strRef>
              <c:f>'Marimekko Chart'!$K$48</c:f>
              <c:strCache>
                <c:ptCount val="1"/>
                <c:pt idx="0">
                  <c:v>Top Label Location</c:v>
                </c:pt>
              </c:strCache>
            </c:strRef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1D8D2B-AF72-4089-BAFD-CEF18CCE84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D119-4B96-BC1D-48CAA6B1B1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E2ED77-0C6C-4CEA-90F5-A1EB742A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19-4B96-BC1D-48CAA6B1B1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5CF143-B09D-4B65-895E-DFD35D6A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19-4B96-BC1D-48CAA6B1B1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87A607-B0E0-4FEA-A9E5-23BFC3816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19-4B96-BC1D-48CAA6B1B1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3472C3-C442-4875-8810-16B5C335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19-4B96-BC1D-48CAA6B1B1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37D654-2077-4529-84C1-44FE0B0B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19-4B96-BC1D-48CAA6B1B1C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'Marimekko Chart'!$E$49:$E$54</c:f>
              <c:numCache>
                <c:formatCode>_-* #,##0.0_-;\-* #,##0.0_-;_-* "-"??_-;_-@_-</c:formatCode>
                <c:ptCount val="6"/>
                <c:pt idx="0">
                  <c:v>8</c:v>
                </c:pt>
                <c:pt idx="1">
                  <c:v>26</c:v>
                </c:pt>
                <c:pt idx="2">
                  <c:v>39</c:v>
                </c:pt>
                <c:pt idx="3">
                  <c:v>49.5</c:v>
                </c:pt>
                <c:pt idx="4">
                  <c:v>65</c:v>
                </c:pt>
                <c:pt idx="5">
                  <c:v>86.5</c:v>
                </c:pt>
              </c:numCache>
            </c:numRef>
          </c:xVal>
          <c:yVal>
            <c:numRef>
              <c:f>'Marimekko Chart'!$K$49:$K$54</c:f>
              <c:numCache>
                <c:formatCode>_(#,##0_);[Red]\(#,##0\);_(\-_);</c:formatCode>
                <c:ptCount val="6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'Marimekko Chart'!$L$49:$L$54</c15:f>
                <c15:dlblRangeCache>
                  <c:ptCount val="6"/>
                  <c:pt idx="0">
                    <c:v>16%
of the Market</c:v>
                  </c:pt>
                  <c:pt idx="1">
                    <c:v>20%
of the Market</c:v>
                  </c:pt>
                  <c:pt idx="2">
                    <c:v>6%
of the Market</c:v>
                  </c:pt>
                  <c:pt idx="3">
                    <c:v>15%
of the Market</c:v>
                  </c:pt>
                  <c:pt idx="4">
                    <c:v>16%
of the Market</c:v>
                  </c:pt>
                  <c:pt idx="5">
                    <c:v>27%
of the Market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D119-4B96-BC1D-48CAA6B1B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48592"/>
        <c:axId val="1360520272"/>
      </c:scatterChart>
      <c:dateAx>
        <c:axId val="1920848592"/>
        <c:scaling>
          <c:orientation val="minMax"/>
        </c:scaling>
        <c:delete val="0"/>
        <c:axPos val="b"/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520272"/>
        <c:crosses val="autoZero"/>
        <c:auto val="0"/>
        <c:lblOffset val="100"/>
        <c:baseTimeUnit val="days"/>
        <c:majorUnit val="20"/>
        <c:majorTimeUnit val="days"/>
      </c:dateAx>
      <c:valAx>
        <c:axId val="13605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848592"/>
        <c:crosses val="autoZero"/>
        <c:crossBetween val="between"/>
      </c:valAx>
    </c:plotArea>
    <c:legend>
      <c:legendPos val="b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60</xdr:row>
      <xdr:rowOff>0</xdr:rowOff>
    </xdr:from>
    <xdr:to>
      <xdr:col>11</xdr:col>
      <xdr:colOff>0</xdr:colOff>
      <xdr:row>81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D68A59-F96A-9334-C8C0-93E6CA4B9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83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BA5FAA-49ED-D017-8427-C1FD1F8EC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108</xdr:row>
      <xdr:rowOff>0</xdr:rowOff>
    </xdr:from>
    <xdr:to>
      <xdr:col>10</xdr:col>
      <xdr:colOff>1115786</xdr:colOff>
      <xdr:row>138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F882B-56F0-4E9D-8606-09544A6C6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672F89-4A61-4092-80AB-D1ECCB4E7566}" name="Data" displayName="Data" ref="D10:J16" totalsRowShown="0" headerRowCellStyle="Table_Heading" dataCellStyle="Assumption">
  <autoFilter ref="D10:J16" xr:uid="{E0672F89-4A61-4092-80AB-D1ECCB4E7566}"/>
  <tableColumns count="7">
    <tableColumn id="1" xr3:uid="{7152AFC4-A654-43E9-A4EA-58BA7DA13708}" name="Markets" dataCellStyle="Table_Heading"/>
    <tableColumn id="2" xr3:uid="{EA5E2823-58CC-4F88-85B9-27E57679BE47}" name="Market Share" dataCellStyle="Assumption"/>
    <tableColumn id="3" xr3:uid="{5B7CB2ED-EAF5-4499-81B2-4B2CAA2285E3}" name="A" dataDxfId="5" dataCellStyle="Assumption"/>
    <tableColumn id="4" xr3:uid="{EED5F808-93B4-40D2-9DC3-ECBC7BF716C2}" name="B" dataCellStyle="Assumption"/>
    <tableColumn id="5" xr3:uid="{B538BB0F-7DCB-4BA6-AFA1-FB970A764953}" name="C" dataCellStyle="Assumption"/>
    <tableColumn id="6" xr3:uid="{99B2AAEB-F148-4E21-B8B4-21B8637B6528}" name="D" dataCellStyle="Assumption"/>
    <tableColumn id="7" xr3:uid="{3FCB1DB9-CC3F-4215-AA23-A65E28E7A083}" name="E" dataCellStyle="Assum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22"/>
  <sheetViews>
    <sheetView showGridLines="0" zoomScaleNormal="100" workbookViewId="0">
      <selection activeCell="H44" sqref="H44"/>
    </sheetView>
  </sheetViews>
  <sheetFormatPr defaultRowHeight="12" x14ac:dyDescent="0.2"/>
  <cols>
    <col min="3" max="4" width="3.7109375" customWidth="1"/>
  </cols>
  <sheetData>
    <row r="3" spans="1:19" x14ac:dyDescent="0.2">
      <c r="A3" s="11" t="s">
        <v>1</v>
      </c>
    </row>
    <row r="5" spans="1:19" ht="20.25" x14ac:dyDescent="0.3">
      <c r="C5" s="39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0" t="str">
        <f ca="1">Model_Name</f>
        <v>SP Marimekko Chart.xlsm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7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71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51" t="s">
        <v>104</v>
      </c>
      <c r="D17" s="51"/>
      <c r="E17" s="51"/>
      <c r="F17" s="51"/>
      <c r="G17" s="51"/>
      <c r="H17" s="51"/>
      <c r="I17" s="51"/>
      <c r="J17" s="51"/>
    </row>
    <row r="18" spans="3:10" ht="12.75" x14ac:dyDescent="0.2">
      <c r="C18" s="51"/>
      <c r="D18" s="51"/>
      <c r="E18" s="51"/>
      <c r="F18" s="51"/>
      <c r="G18" s="51"/>
      <c r="H18" s="51"/>
      <c r="I18" s="51"/>
      <c r="J18" s="51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52" t="s">
        <v>72</v>
      </c>
      <c r="H21" s="52"/>
      <c r="I21" s="52"/>
      <c r="J21" s="7"/>
    </row>
    <row r="22" spans="3:10" ht="12.75" x14ac:dyDescent="0.2">
      <c r="C22" s="10" t="s">
        <v>21</v>
      </c>
      <c r="D22" s="9"/>
      <c r="E22" s="7"/>
      <c r="F22" s="7"/>
      <c r="G22" s="52" t="s">
        <v>22</v>
      </c>
      <c r="H22" s="52"/>
      <c r="I22" s="52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39" t="s">
        <v>1</v>
      </c>
      <c r="F1" s="12"/>
      <c r="G1" s="12"/>
    </row>
    <row r="2" spans="1:12" ht="18" x14ac:dyDescent="0.25">
      <c r="A2" s="40" t="str">
        <f ca="1">Model_Name</f>
        <v>SP Marimekko Chart.xlsm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1">
        <v>1</v>
      </c>
      <c r="C7" s="41" t="s">
        <v>23</v>
      </c>
      <c r="D7" s="41"/>
      <c r="E7" s="41"/>
      <c r="F7" s="41"/>
      <c r="G7" s="41"/>
      <c r="H7" s="41"/>
      <c r="I7" s="41"/>
      <c r="J7" s="41"/>
      <c r="K7" s="41"/>
      <c r="L7" s="41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69</v>
      </c>
    </row>
    <row r="13" spans="1:12" x14ac:dyDescent="0.2">
      <c r="F13" s="11" t="s">
        <v>100</v>
      </c>
    </row>
    <row r="14" spans="1:12" x14ac:dyDescent="0.2">
      <c r="F14" s="11" t="s">
        <v>64</v>
      </c>
    </row>
  </sheetData>
  <hyperlinks>
    <hyperlink ref="A3:E3" location="HL_Navigator" tooltip="Go to Navigator (Table of Contents)" display="Navigator" xr:uid="{00000000-0004-0000-0100-000000000000}"/>
    <hyperlink ref="F9" location="HL_1" display="Cover" xr:uid="{618EAEEB-FE22-4BF9-8646-BEA37D93CE57}"/>
    <hyperlink ref="F10" location="HL_3" display="Style Guide" xr:uid="{46400C24-F915-4191-A777-11F6372815B9}"/>
    <hyperlink ref="F11" location="HL_4" display="Model Parameters" xr:uid="{7C19B2D7-281A-42A2-BFB0-99FF7A4DAF16}"/>
    <hyperlink ref="F12" location="HL_5" display="Timing" xr:uid="{16BB06A6-4CBC-4BC7-91EF-79B7D6C801BB}"/>
    <hyperlink ref="F13" location="HL_6" display="Marimekko Chart" xr:uid="{7AC54CE0-E471-448F-93EA-F6FD29D7E3CC}"/>
    <hyperlink ref="F14" location="HL_7" display="Error Checks" xr:uid="{900A83E4-1FF6-492E-BEBA-A906B9B8DFD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0" t="str">
        <f ca="1">Model_Name</f>
        <v>SP Marimekko Chart.xlsm</v>
      </c>
    </row>
    <row r="3" spans="1:13" x14ac:dyDescent="0.2">
      <c r="A3" s="52" t="s">
        <v>1</v>
      </c>
      <c r="B3" s="52"/>
      <c r="C3" s="52"/>
      <c r="D3" s="52"/>
      <c r="E3" s="52"/>
    </row>
    <row r="4" spans="1:13" ht="14.25" x14ac:dyDescent="0.2">
      <c r="E4" t="s">
        <v>2</v>
      </c>
      <c r="I4" s="1">
        <f>Overall_Error_Check</f>
        <v>0</v>
      </c>
    </row>
    <row r="6" spans="1:13" ht="16.5" thickBot="1" x14ac:dyDescent="0.3">
      <c r="B6" s="41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54" t="s">
        <v>27</v>
      </c>
      <c r="D8" s="54"/>
      <c r="E8" s="54"/>
      <c r="F8" s="54"/>
      <c r="G8" s="54"/>
      <c r="H8" s="13"/>
      <c r="I8" s="13" t="s">
        <v>28</v>
      </c>
      <c r="J8" s="13"/>
      <c r="K8" s="13" t="s">
        <v>29</v>
      </c>
    </row>
    <row r="9" spans="1:13" outlineLevel="1" x14ac:dyDescent="0.2">
      <c r="C9" s="53"/>
      <c r="D9" s="53"/>
      <c r="E9" s="53"/>
      <c r="F9" s="53"/>
      <c r="G9" s="53"/>
      <c r="K9" s="17"/>
    </row>
    <row r="10" spans="1:13" ht="20.25" outlineLevel="1" x14ac:dyDescent="0.3">
      <c r="C10" s="53" t="s">
        <v>30</v>
      </c>
      <c r="D10" s="53"/>
      <c r="E10" s="53"/>
      <c r="F10" s="53"/>
      <c r="G10" s="53"/>
      <c r="I10" s="14" t="str">
        <f>C10</f>
        <v>Sheet Title</v>
      </c>
      <c r="K10" s="15" t="s">
        <v>30</v>
      </c>
    </row>
    <row r="11" spans="1:13" ht="18" outlineLevel="1" x14ac:dyDescent="0.25">
      <c r="C11" s="53" t="s">
        <v>5</v>
      </c>
      <c r="D11" s="53"/>
      <c r="E11" s="53"/>
      <c r="F11" s="53"/>
      <c r="G11" s="53"/>
      <c r="I11" s="16" t="str">
        <f>C11</f>
        <v>Model Name</v>
      </c>
      <c r="K11" s="15" t="s">
        <v>5</v>
      </c>
    </row>
    <row r="12" spans="1:13" outlineLevel="1" x14ac:dyDescent="0.2">
      <c r="C12" s="53"/>
      <c r="D12" s="53"/>
      <c r="E12" s="53"/>
      <c r="F12" s="53"/>
      <c r="G12" s="53"/>
      <c r="K12" s="17"/>
    </row>
    <row r="13" spans="1:13" ht="16.5" outlineLevel="1" thickBot="1" x14ac:dyDescent="0.3">
      <c r="C13" s="53" t="s">
        <v>31</v>
      </c>
      <c r="D13" s="53"/>
      <c r="E13" s="53"/>
      <c r="F13" s="53"/>
      <c r="G13" s="53"/>
      <c r="I13" s="38" t="str">
        <f>C13</f>
        <v>Header 1</v>
      </c>
      <c r="K13" s="15" t="s">
        <v>31</v>
      </c>
    </row>
    <row r="14" spans="1:13" ht="17.25" outlineLevel="1" thickTop="1" x14ac:dyDescent="0.25">
      <c r="C14" s="53" t="s">
        <v>32</v>
      </c>
      <c r="D14" s="53"/>
      <c r="E14" s="53"/>
      <c r="F14" s="53"/>
      <c r="G14" s="53"/>
      <c r="I14" s="3" t="str">
        <f>C14</f>
        <v>Header 2</v>
      </c>
      <c r="K14" s="15" t="s">
        <v>32</v>
      </c>
    </row>
    <row r="15" spans="1:13" ht="15" outlineLevel="1" x14ac:dyDescent="0.25">
      <c r="C15" s="53" t="s">
        <v>33</v>
      </c>
      <c r="D15" s="53"/>
      <c r="E15" s="53"/>
      <c r="F15" s="53"/>
      <c r="G15" s="53"/>
      <c r="I15" s="4" t="str">
        <f>C15</f>
        <v>Header 3</v>
      </c>
      <c r="K15" s="15" t="s">
        <v>33</v>
      </c>
    </row>
    <row r="16" spans="1:13" ht="15" outlineLevel="1" x14ac:dyDescent="0.25">
      <c r="C16" s="53" t="s">
        <v>34</v>
      </c>
      <c r="D16" s="53"/>
      <c r="E16" s="53"/>
      <c r="F16" s="53"/>
      <c r="G16" s="53"/>
      <c r="I16" s="18" t="str">
        <f>C16</f>
        <v>Header 4</v>
      </c>
      <c r="K16" s="15" t="s">
        <v>34</v>
      </c>
    </row>
    <row r="17" spans="2:14" outlineLevel="1" x14ac:dyDescent="0.2">
      <c r="C17" s="53"/>
      <c r="D17" s="53"/>
      <c r="E17" s="53"/>
      <c r="F17" s="53"/>
      <c r="G17" s="53"/>
      <c r="K17" s="17"/>
    </row>
    <row r="18" spans="2:14" ht="15" outlineLevel="1" x14ac:dyDescent="0.25">
      <c r="C18" s="53" t="s">
        <v>35</v>
      </c>
      <c r="D18" s="53"/>
      <c r="E18" s="53"/>
      <c r="F18" s="53"/>
      <c r="G18" s="53"/>
      <c r="I18" s="19" t="str">
        <f>C18</f>
        <v>Notes</v>
      </c>
      <c r="K18" s="15" t="s">
        <v>35</v>
      </c>
    </row>
    <row r="19" spans="2:14" outlineLevel="1" x14ac:dyDescent="0.2">
      <c r="C19" s="53"/>
      <c r="D19" s="53"/>
      <c r="E19" s="53"/>
      <c r="F19" s="53"/>
      <c r="G19" s="53"/>
      <c r="K19" s="17"/>
      <c r="N19" s="19"/>
    </row>
    <row r="20" spans="2:14" ht="15" outlineLevel="1" x14ac:dyDescent="0.25">
      <c r="C20" s="53" t="s">
        <v>36</v>
      </c>
      <c r="D20" s="53"/>
      <c r="E20" s="53"/>
      <c r="F20" s="53"/>
      <c r="G20" s="53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1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54" t="s">
        <v>27</v>
      </c>
      <c r="D25" s="54"/>
      <c r="E25" s="54"/>
      <c r="F25" s="54"/>
      <c r="G25" s="54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53"/>
      <c r="D26" s="53"/>
      <c r="E26" s="53"/>
      <c r="F26" s="53"/>
      <c r="G26" s="53"/>
      <c r="K26" s="15"/>
    </row>
    <row r="27" spans="2:14" ht="15" outlineLevel="1" x14ac:dyDescent="0.25">
      <c r="C27" s="53" t="s">
        <v>38</v>
      </c>
      <c r="D27" s="53"/>
      <c r="E27" s="53"/>
      <c r="F27" s="53"/>
      <c r="G27" s="53"/>
      <c r="I27" s="20" t="s">
        <v>38</v>
      </c>
      <c r="K27" s="21" t="str">
        <f>C27</f>
        <v>Assumption</v>
      </c>
    </row>
    <row r="28" spans="2:14" ht="15" outlineLevel="1" x14ac:dyDescent="0.25">
      <c r="C28" s="53"/>
      <c r="D28" s="53"/>
      <c r="E28" s="53"/>
      <c r="F28" s="53"/>
      <c r="G28" s="53"/>
      <c r="K28" s="21"/>
    </row>
    <row r="29" spans="2:14" ht="15" outlineLevel="1" x14ac:dyDescent="0.25">
      <c r="C29" s="53" t="s">
        <v>39</v>
      </c>
      <c r="D29" s="53"/>
      <c r="E29" s="53"/>
      <c r="F29" s="53"/>
      <c r="G29" s="53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53"/>
      <c r="D30" s="53"/>
      <c r="E30" s="53"/>
      <c r="F30" s="53"/>
      <c r="G30" s="53"/>
      <c r="K30" s="21"/>
    </row>
    <row r="31" spans="2:14" ht="15" outlineLevel="1" x14ac:dyDescent="0.25">
      <c r="C31" s="53" t="s">
        <v>40</v>
      </c>
      <c r="D31" s="53"/>
      <c r="E31" s="53"/>
      <c r="F31" s="53"/>
      <c r="G31" s="53"/>
      <c r="I31" s="23"/>
      <c r="K31" s="21" t="str">
        <f>C31</f>
        <v>Empty</v>
      </c>
    </row>
    <row r="32" spans="2:14" ht="15" outlineLevel="1" x14ac:dyDescent="0.25">
      <c r="C32" s="53"/>
      <c r="D32" s="53"/>
      <c r="E32" s="53"/>
      <c r="F32" s="53"/>
      <c r="G32" s="53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53" t="s">
        <v>42</v>
      </c>
      <c r="D35" s="53"/>
      <c r="E35" s="53"/>
      <c r="F35" s="53"/>
      <c r="G35" s="53"/>
      <c r="I35" s="11" t="s">
        <v>42</v>
      </c>
      <c r="K35" s="21" t="str">
        <f>C35</f>
        <v>Hyperlink</v>
      </c>
    </row>
    <row r="36" spans="3:11" ht="15" outlineLevel="1" x14ac:dyDescent="0.25">
      <c r="C36" s="53"/>
      <c r="D36" s="53"/>
      <c r="E36" s="53"/>
      <c r="F36" s="53"/>
      <c r="G36" s="53"/>
      <c r="K36" s="21"/>
    </row>
    <row r="37" spans="3:11" ht="15" outlineLevel="1" x14ac:dyDescent="0.25">
      <c r="C37" s="53" t="s">
        <v>43</v>
      </c>
      <c r="D37" s="53"/>
      <c r="E37" s="53"/>
      <c r="F37" s="53"/>
      <c r="G37" s="53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53"/>
      <c r="D38" s="53"/>
      <c r="E38" s="53"/>
      <c r="F38" s="53"/>
      <c r="G38" s="53"/>
      <c r="K38" s="21"/>
    </row>
    <row r="39" spans="3:11" ht="15" outlineLevel="1" x14ac:dyDescent="0.25">
      <c r="C39" s="53" t="s">
        <v>44</v>
      </c>
      <c r="D39" s="53"/>
      <c r="E39" s="53"/>
      <c r="F39" s="53"/>
      <c r="G39" s="53"/>
      <c r="I39" s="26">
        <v>77</v>
      </c>
      <c r="K39" s="21" t="s">
        <v>45</v>
      </c>
    </row>
    <row r="40" spans="3:11" ht="15" outlineLevel="1" x14ac:dyDescent="0.25">
      <c r="C40" s="53"/>
      <c r="D40" s="53"/>
      <c r="E40" s="53"/>
      <c r="F40" s="53"/>
      <c r="G40" s="53"/>
      <c r="K40" s="21"/>
    </row>
    <row r="41" spans="3:11" ht="15" outlineLevel="1" x14ac:dyDescent="0.25">
      <c r="C41" s="53" t="s">
        <v>46</v>
      </c>
      <c r="D41" s="53"/>
      <c r="E41" s="53"/>
      <c r="F41" s="53"/>
      <c r="G41" s="53"/>
      <c r="I41" s="27">
        <f>I39</f>
        <v>77</v>
      </c>
      <c r="K41" s="21" t="str">
        <f>C41</f>
        <v>Line Total</v>
      </c>
    </row>
    <row r="42" spans="3:11" ht="15" outlineLevel="1" x14ac:dyDescent="0.25">
      <c r="C42" s="53"/>
      <c r="D42" s="53"/>
      <c r="E42" s="53"/>
      <c r="F42" s="53"/>
      <c r="G42" s="53"/>
      <c r="K42" s="21"/>
    </row>
    <row r="43" spans="3:11" ht="15" outlineLevel="1" x14ac:dyDescent="0.25">
      <c r="C43" s="53" t="s">
        <v>47</v>
      </c>
      <c r="D43" s="53"/>
      <c r="E43" s="53"/>
      <c r="F43" s="53"/>
      <c r="G43" s="53"/>
      <c r="I43" s="28">
        <v>365</v>
      </c>
      <c r="K43" s="21" t="str">
        <f>C43</f>
        <v>Parameter</v>
      </c>
    </row>
    <row r="44" spans="3:11" ht="15" outlineLevel="1" x14ac:dyDescent="0.25">
      <c r="C44" s="53"/>
      <c r="D44" s="53"/>
      <c r="E44" s="53"/>
      <c r="F44" s="53"/>
      <c r="G44" s="53"/>
      <c r="K44" s="21"/>
    </row>
    <row r="45" spans="3:11" ht="15" outlineLevel="1" x14ac:dyDescent="0.25">
      <c r="C45" s="53" t="s">
        <v>48</v>
      </c>
      <c r="D45" s="53"/>
      <c r="E45" s="53"/>
      <c r="F45" s="53"/>
      <c r="G45" s="53"/>
      <c r="I45" s="29" t="s">
        <v>49</v>
      </c>
      <c r="K45" s="21" t="str">
        <f>C45</f>
        <v>Range Name Description</v>
      </c>
    </row>
    <row r="46" spans="3:11" ht="15" outlineLevel="1" x14ac:dyDescent="0.25">
      <c r="C46" s="53"/>
      <c r="D46" s="53"/>
      <c r="E46" s="53"/>
      <c r="F46" s="53"/>
      <c r="G46" s="53"/>
      <c r="K46" s="21"/>
    </row>
    <row r="47" spans="3:11" ht="15" outlineLevel="1" x14ac:dyDescent="0.25">
      <c r="C47" s="53" t="s">
        <v>50</v>
      </c>
      <c r="D47" s="53"/>
      <c r="E47" s="53"/>
      <c r="F47" s="53"/>
      <c r="G47" s="53"/>
      <c r="I47" s="30">
        <f>ROW(C47)</f>
        <v>47</v>
      </c>
      <c r="K47" s="21" t="s">
        <v>51</v>
      </c>
    </row>
    <row r="48" spans="3:11" ht="15" outlineLevel="1" x14ac:dyDescent="0.25">
      <c r="C48" s="53"/>
      <c r="D48" s="53"/>
      <c r="E48" s="53"/>
      <c r="F48" s="53"/>
      <c r="G48" s="53"/>
      <c r="K48" s="21"/>
    </row>
    <row r="49" spans="2:13" ht="15" outlineLevel="1" x14ac:dyDescent="0.25">
      <c r="C49" s="53" t="s">
        <v>52</v>
      </c>
      <c r="D49" s="53"/>
      <c r="E49" s="53"/>
      <c r="F49" s="53"/>
      <c r="G49" s="53"/>
      <c r="I49" s="31">
        <f>I41</f>
        <v>77</v>
      </c>
      <c r="K49" s="21" t="str">
        <f>C49</f>
        <v>Row Summary</v>
      </c>
    </row>
    <row r="50" spans="2:13" ht="15" outlineLevel="1" x14ac:dyDescent="0.25">
      <c r="C50" s="53"/>
      <c r="D50" s="53"/>
      <c r="E50" s="53"/>
      <c r="F50" s="53"/>
      <c r="G50" s="53"/>
      <c r="K50" s="21"/>
    </row>
    <row r="51" spans="2:13" ht="15" outlineLevel="1" x14ac:dyDescent="0.25">
      <c r="C51" s="53" t="s">
        <v>53</v>
      </c>
      <c r="D51" s="53"/>
      <c r="E51" s="53"/>
      <c r="F51" s="53"/>
      <c r="G51" s="53"/>
      <c r="I51" s="32" t="s">
        <v>68</v>
      </c>
      <c r="K51" s="21" t="str">
        <f>C51</f>
        <v>Units</v>
      </c>
    </row>
    <row r="52" spans="2:13" ht="15" outlineLevel="1" x14ac:dyDescent="0.25">
      <c r="C52" s="53"/>
      <c r="D52" s="53"/>
      <c r="E52" s="53"/>
      <c r="F52" s="53"/>
      <c r="G52" s="53"/>
      <c r="K52" s="21"/>
    </row>
    <row r="53" spans="2:13" ht="15" outlineLevel="1" x14ac:dyDescent="0.25">
      <c r="C53" s="53" t="s">
        <v>54</v>
      </c>
      <c r="D53" s="53"/>
      <c r="E53" s="53"/>
      <c r="F53" s="53"/>
      <c r="G53" s="53"/>
      <c r="I53" s="33"/>
      <c r="K53" s="21" t="str">
        <f>C53</f>
        <v>WIP</v>
      </c>
    </row>
    <row r="54" spans="2:13" ht="15" outlineLevel="1" x14ac:dyDescent="0.25">
      <c r="C54" s="53"/>
      <c r="D54" s="53"/>
      <c r="E54" s="53"/>
      <c r="F54" s="53"/>
      <c r="G54" s="53"/>
      <c r="K54" s="21"/>
    </row>
    <row r="55" spans="2:13" outlineLevel="1" x14ac:dyDescent="0.2">
      <c r="C55" s="53"/>
      <c r="D55" s="53"/>
      <c r="E55" s="53"/>
      <c r="F55" s="53"/>
      <c r="G55" s="53"/>
    </row>
    <row r="56" spans="2:13" ht="16.5" thickBot="1" x14ac:dyDescent="0.3">
      <c r="B56" s="41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54" t="s">
        <v>27</v>
      </c>
      <c r="D58" s="54"/>
      <c r="E58" s="54"/>
      <c r="F58" s="54"/>
      <c r="G58" s="54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53" t="s">
        <v>56</v>
      </c>
      <c r="D60" s="53"/>
      <c r="E60" s="53"/>
      <c r="F60" s="53"/>
      <c r="G60" s="53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53"/>
      <c r="D61" s="53"/>
      <c r="E61" s="53"/>
      <c r="F61" s="53"/>
      <c r="G61" s="53"/>
      <c r="K61" s="21"/>
    </row>
    <row r="62" spans="2:13" ht="15" outlineLevel="1" x14ac:dyDescent="0.25">
      <c r="C62" s="53" t="s">
        <v>57</v>
      </c>
      <c r="D62" s="53"/>
      <c r="E62" s="53"/>
      <c r="F62" s="53"/>
      <c r="G62" s="53"/>
      <c r="I62" s="42">
        <v>-123456.789</v>
      </c>
      <c r="K62" s="21" t="str">
        <f t="shared" si="0"/>
        <v>Comma [0]</v>
      </c>
    </row>
    <row r="63" spans="2:13" ht="15" outlineLevel="1" x14ac:dyDescent="0.25">
      <c r="C63" s="53"/>
      <c r="D63" s="53"/>
      <c r="E63" s="53"/>
      <c r="F63" s="53"/>
      <c r="G63" s="53"/>
      <c r="K63" s="21"/>
    </row>
    <row r="64" spans="2:13" ht="15" outlineLevel="1" x14ac:dyDescent="0.25">
      <c r="C64" s="53" t="s">
        <v>58</v>
      </c>
      <c r="D64" s="53"/>
      <c r="E64" s="53"/>
      <c r="F64" s="53"/>
      <c r="G64" s="53"/>
      <c r="I64" s="44">
        <v>123456.789</v>
      </c>
      <c r="K64" s="21" t="str">
        <f t="shared" si="0"/>
        <v>Currency</v>
      </c>
    </row>
    <row r="65" spans="3:11" ht="15" outlineLevel="1" x14ac:dyDescent="0.25">
      <c r="C65" s="53"/>
      <c r="D65" s="53"/>
      <c r="E65" s="53"/>
      <c r="F65" s="53"/>
      <c r="G65" s="53"/>
      <c r="K65" s="21"/>
    </row>
    <row r="66" spans="3:11" ht="15" outlineLevel="1" x14ac:dyDescent="0.25">
      <c r="C66" s="53" t="s">
        <v>59</v>
      </c>
      <c r="D66" s="53"/>
      <c r="E66" s="53"/>
      <c r="F66" s="53"/>
      <c r="G66" s="53"/>
      <c r="I66" s="45">
        <v>123456.789</v>
      </c>
      <c r="K66" s="21" t="str">
        <f t="shared" si="0"/>
        <v>Currency [0]</v>
      </c>
    </row>
    <row r="67" spans="3:11" ht="15" outlineLevel="1" x14ac:dyDescent="0.25">
      <c r="C67" s="53"/>
      <c r="D67" s="53"/>
      <c r="E67" s="53"/>
      <c r="F67" s="53"/>
      <c r="G67" s="53"/>
      <c r="K67" s="21"/>
    </row>
    <row r="68" spans="3:11" ht="15" outlineLevel="1" x14ac:dyDescent="0.25">
      <c r="C68" s="53" t="s">
        <v>60</v>
      </c>
      <c r="D68" s="53"/>
      <c r="E68" s="53"/>
      <c r="F68" s="53"/>
      <c r="G68" s="53"/>
      <c r="I68" s="46">
        <f ca="1">TODAY()</f>
        <v>45177</v>
      </c>
      <c r="K68" s="21" t="str">
        <f>C68</f>
        <v>Date</v>
      </c>
    </row>
    <row r="69" spans="3:11" ht="15" outlineLevel="1" x14ac:dyDescent="0.25">
      <c r="C69" s="53"/>
      <c r="D69" s="53"/>
      <c r="E69" s="53"/>
      <c r="F69" s="53"/>
      <c r="G69" s="53"/>
      <c r="K69" s="21"/>
    </row>
    <row r="70" spans="3:11" ht="15" outlineLevel="1" x14ac:dyDescent="0.25">
      <c r="C70" s="53" t="s">
        <v>61</v>
      </c>
      <c r="D70" s="53"/>
      <c r="E70" s="53"/>
      <c r="F70" s="53"/>
      <c r="G70" s="53"/>
      <c r="I70" s="47">
        <f ca="1">TODAY()</f>
        <v>45177</v>
      </c>
      <c r="K70" s="21" t="str">
        <f>C70</f>
        <v>Date Heading</v>
      </c>
    </row>
    <row r="71" spans="3:11" ht="15" outlineLevel="1" x14ac:dyDescent="0.25">
      <c r="C71" s="53"/>
      <c r="D71" s="53"/>
      <c r="E71" s="53"/>
      <c r="F71" s="53"/>
      <c r="G71" s="53"/>
      <c r="K71" s="21"/>
    </row>
    <row r="72" spans="3:11" ht="15" outlineLevel="1" x14ac:dyDescent="0.25">
      <c r="C72" s="53" t="s">
        <v>62</v>
      </c>
      <c r="D72" s="53"/>
      <c r="E72" s="53"/>
      <c r="F72" s="53"/>
      <c r="G72" s="53"/>
      <c r="I72" s="34">
        <v>-123456.789</v>
      </c>
      <c r="K72" s="21" t="str">
        <f>C72</f>
        <v>Numbers 0</v>
      </c>
    </row>
    <row r="73" spans="3:11" ht="15" outlineLevel="1" x14ac:dyDescent="0.25">
      <c r="C73" s="53"/>
      <c r="D73" s="53"/>
      <c r="E73" s="53"/>
      <c r="F73" s="53"/>
      <c r="G73" s="53"/>
      <c r="K73" s="21"/>
    </row>
    <row r="74" spans="3:11" ht="15" outlineLevel="1" x14ac:dyDescent="0.25">
      <c r="C74" s="53" t="s">
        <v>63</v>
      </c>
      <c r="D74" s="53"/>
      <c r="E74" s="53"/>
      <c r="F74" s="53"/>
      <c r="G74" s="53"/>
      <c r="I74" s="35">
        <v>0.5</v>
      </c>
      <c r="K74" s="21" t="str">
        <f>C74</f>
        <v>Percent</v>
      </c>
    </row>
    <row r="75" spans="3:11" outlineLevel="1" x14ac:dyDescent="0.2">
      <c r="C75" s="53"/>
      <c r="D75" s="53"/>
      <c r="E75" s="53"/>
      <c r="F75" s="53"/>
      <c r="G75" s="53"/>
    </row>
    <row r="76" spans="3:11" outlineLevel="1" x14ac:dyDescent="0.2">
      <c r="C76" s="53"/>
      <c r="D76" s="53"/>
      <c r="E76" s="53"/>
      <c r="F76" s="53"/>
      <c r="G76" s="53"/>
    </row>
    <row r="77" spans="3:11" x14ac:dyDescent="0.2">
      <c r="C77" s="53"/>
      <c r="D77" s="53"/>
      <c r="E77" s="53"/>
      <c r="F77" s="53"/>
      <c r="G77" s="53"/>
    </row>
    <row r="78" spans="3:11" x14ac:dyDescent="0.2">
      <c r="C78" s="53"/>
      <c r="D78" s="53"/>
      <c r="E78" s="53"/>
      <c r="F78" s="53"/>
      <c r="G78" s="53"/>
    </row>
    <row r="79" spans="3:11" x14ac:dyDescent="0.2">
      <c r="C79" s="53"/>
      <c r="D79" s="53"/>
      <c r="E79" s="53"/>
      <c r="F79" s="53"/>
      <c r="G79" s="53"/>
    </row>
    <row r="80" spans="3:11" x14ac:dyDescent="0.2">
      <c r="C80" s="53"/>
      <c r="D80" s="53"/>
      <c r="E80" s="53"/>
      <c r="F80" s="53"/>
      <c r="G80" s="53"/>
    </row>
    <row r="81" spans="3:7" x14ac:dyDescent="0.2">
      <c r="C81" s="53"/>
      <c r="D81" s="53"/>
      <c r="E81" s="53"/>
      <c r="F81" s="53"/>
      <c r="G81" s="53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4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Model Parameters</v>
      </c>
      <c r="J1" s="52"/>
      <c r="K1" s="52"/>
    </row>
    <row r="2" spans="1:18" ht="18" x14ac:dyDescent="0.25">
      <c r="A2" s="40" t="str">
        <f ca="1">Model_Name</f>
        <v>SP Marimekko Chart.xlsm</v>
      </c>
    </row>
    <row r="3" spans="1:18" x14ac:dyDescent="0.2">
      <c r="A3" s="52" t="s">
        <v>1</v>
      </c>
      <c r="B3" s="52"/>
      <c r="C3" s="52"/>
      <c r="D3" s="52"/>
      <c r="E3" s="52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1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55" t="str">
        <f ca="1">IF(ISERROR(OR(FIND("[",CELL("filename",A1)),FIND("]",CELL("filename",A1)))),"",MID(CELL("filename",A1),FIND("[",CELL("filename",A1))+1,FIND("]",CELL("filename",A1))-FIND("[",CELL("filename",A1))-1))</f>
        <v>SP Marimekko Chart.xlsm</v>
      </c>
      <c r="H11" s="56"/>
      <c r="I11" s="56"/>
      <c r="J11" s="56"/>
      <c r="K11" s="56"/>
      <c r="L11" s="56"/>
      <c r="M11" s="56"/>
      <c r="N11" s="57"/>
    </row>
    <row r="12" spans="1:18" outlineLevel="1" x14ac:dyDescent="0.2">
      <c r="E12" t="s">
        <v>6</v>
      </c>
      <c r="G12" s="58" t="s">
        <v>70</v>
      </c>
      <c r="H12" s="58"/>
      <c r="I12" s="58"/>
      <c r="J12" s="58"/>
      <c r="K12" s="58"/>
      <c r="L12" s="58"/>
      <c r="M12" s="58"/>
      <c r="N12" s="58"/>
    </row>
    <row r="13" spans="1:18" outlineLevel="1" x14ac:dyDescent="0.2"/>
    <row r="14" spans="1:18" outlineLevel="1" x14ac:dyDescent="0.2"/>
    <row r="15" spans="1:18" ht="16.5" thickBot="1" x14ac:dyDescent="0.3">
      <c r="B15" s="41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3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W109"/>
  <sheetViews>
    <sheetView showGridLines="0" tabSelected="1" zoomScale="85" zoomScaleNormal="85" workbookViewId="0">
      <pane ySplit="4" topLeftCell="A15" activePane="bottomLeft" state="frozen"/>
      <selection pane="bottomLeft" activeCell="H25" sqref="H25"/>
    </sheetView>
  </sheetViews>
  <sheetFormatPr defaultRowHeight="12" outlineLevelRow="2" x14ac:dyDescent="0.2"/>
  <cols>
    <col min="1" max="2" width="3.7109375" customWidth="1"/>
    <col min="3" max="3" width="11" customWidth="1"/>
    <col min="4" max="12" width="16.85546875" customWidth="1"/>
    <col min="13" max="13" width="14.140625" customWidth="1"/>
  </cols>
  <sheetData>
    <row r="1" spans="1:23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Marimekko Chart</v>
      </c>
      <c r="I1" s="48"/>
      <c r="J1" s="48"/>
      <c r="K1" s="11"/>
    </row>
    <row r="2" spans="1:23" ht="18" x14ac:dyDescent="0.25">
      <c r="A2" s="40" t="str">
        <f ca="1">Model_Name</f>
        <v>SP Marimekko Chart.xlsm</v>
      </c>
    </row>
    <row r="3" spans="1:23" x14ac:dyDescent="0.2">
      <c r="A3" s="52" t="s">
        <v>1</v>
      </c>
      <c r="B3" s="52"/>
      <c r="C3" s="52"/>
      <c r="D3" s="52"/>
      <c r="E3" s="52"/>
    </row>
    <row r="4" spans="1:23" ht="14.25" x14ac:dyDescent="0.2">
      <c r="B4" t="s">
        <v>2</v>
      </c>
      <c r="F4" s="1">
        <f>Overall_Error_Check</f>
        <v>0</v>
      </c>
    </row>
    <row r="6" spans="1:23" ht="16.5" thickBot="1" x14ac:dyDescent="0.3">
      <c r="B6" s="41">
        <f>MAX($B$5:$B5)+1</f>
        <v>1</v>
      </c>
      <c r="C6" s="2" t="str">
        <f ca="1">A1</f>
        <v>Marimekko Chart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ht="12.75" thickTop="1" x14ac:dyDescent="0.2"/>
    <row r="8" spans="1:23" ht="16.5" x14ac:dyDescent="0.25">
      <c r="C8" s="3" t="s">
        <v>88</v>
      </c>
    </row>
    <row r="9" spans="1:23" outlineLevel="1" x14ac:dyDescent="0.2"/>
    <row r="10" spans="1:23" outlineLevel="1" x14ac:dyDescent="0.2">
      <c r="D10" s="13" t="s">
        <v>75</v>
      </c>
      <c r="E10" s="13" t="s">
        <v>82</v>
      </c>
      <c r="F10" s="13" t="s">
        <v>73</v>
      </c>
      <c r="G10" s="13" t="s">
        <v>74</v>
      </c>
      <c r="H10" s="13" t="s">
        <v>83</v>
      </c>
      <c r="I10" s="13" t="s">
        <v>84</v>
      </c>
      <c r="J10" s="13" t="s">
        <v>85</v>
      </c>
    </row>
    <row r="11" spans="1:23" outlineLevel="1" x14ac:dyDescent="0.2">
      <c r="D11" s="13" t="s">
        <v>76</v>
      </c>
      <c r="E11" s="49">
        <v>16</v>
      </c>
      <c r="F11" s="49">
        <v>20</v>
      </c>
      <c r="G11" s="49">
        <v>14</v>
      </c>
      <c r="H11" s="49">
        <v>25</v>
      </c>
      <c r="I11" s="49">
        <v>23</v>
      </c>
      <c r="J11" s="49">
        <v>18</v>
      </c>
      <c r="K11" s="19" t="s">
        <v>87</v>
      </c>
    </row>
    <row r="12" spans="1:23" outlineLevel="1" x14ac:dyDescent="0.2">
      <c r="D12" s="13" t="s">
        <v>77</v>
      </c>
      <c r="E12" s="49">
        <v>20</v>
      </c>
      <c r="F12" s="49">
        <v>21</v>
      </c>
      <c r="G12" s="49">
        <v>25</v>
      </c>
      <c r="H12" s="49">
        <v>19</v>
      </c>
      <c r="I12" s="49">
        <v>10</v>
      </c>
      <c r="J12" s="49">
        <v>25</v>
      </c>
    </row>
    <row r="13" spans="1:23" outlineLevel="1" x14ac:dyDescent="0.2">
      <c r="D13" s="13" t="s">
        <v>78</v>
      </c>
      <c r="E13" s="49">
        <v>6</v>
      </c>
      <c r="F13" s="49">
        <v>20</v>
      </c>
      <c r="G13" s="49">
        <v>10</v>
      </c>
      <c r="H13" s="49">
        <v>17</v>
      </c>
      <c r="I13" s="49">
        <v>17</v>
      </c>
      <c r="J13" s="49">
        <v>36</v>
      </c>
    </row>
    <row r="14" spans="1:23" outlineLevel="1" x14ac:dyDescent="0.2">
      <c r="D14" s="13" t="s">
        <v>79</v>
      </c>
      <c r="E14" s="49">
        <v>15</v>
      </c>
      <c r="F14" s="49">
        <v>24</v>
      </c>
      <c r="G14" s="49">
        <v>13</v>
      </c>
      <c r="H14" s="49">
        <v>22</v>
      </c>
      <c r="I14" s="49">
        <v>14</v>
      </c>
      <c r="J14" s="49">
        <v>27</v>
      </c>
    </row>
    <row r="15" spans="1:23" outlineLevel="1" x14ac:dyDescent="0.2">
      <c r="D15" s="13" t="s">
        <v>80</v>
      </c>
      <c r="E15" s="49">
        <v>16</v>
      </c>
      <c r="F15" s="49">
        <v>21</v>
      </c>
      <c r="G15" s="49">
        <v>11</v>
      </c>
      <c r="H15" s="49">
        <v>21</v>
      </c>
      <c r="I15" s="49">
        <v>19</v>
      </c>
      <c r="J15" s="49">
        <v>28</v>
      </c>
    </row>
    <row r="16" spans="1:23" outlineLevel="1" x14ac:dyDescent="0.2">
      <c r="D16" s="13" t="s">
        <v>81</v>
      </c>
      <c r="E16" s="49">
        <v>27</v>
      </c>
      <c r="F16" s="49">
        <v>15</v>
      </c>
      <c r="G16" s="49">
        <v>12</v>
      </c>
      <c r="H16" s="49">
        <v>22</v>
      </c>
      <c r="I16" s="49">
        <v>22</v>
      </c>
      <c r="J16" s="49">
        <v>29</v>
      </c>
    </row>
    <row r="17" spans="3:13" outlineLevel="1" x14ac:dyDescent="0.2">
      <c r="E17" s="19" t="s">
        <v>86</v>
      </c>
    </row>
    <row r="18" spans="3:13" outlineLevel="1" x14ac:dyDescent="0.2"/>
    <row r="19" spans="3:13" outlineLevel="1" x14ac:dyDescent="0.2"/>
    <row r="20" spans="3:13" ht="16.5" x14ac:dyDescent="0.25">
      <c r="C20" s="3" t="s">
        <v>89</v>
      </c>
    </row>
    <row r="21" spans="3:13" outlineLevel="1" x14ac:dyDescent="0.2"/>
    <row r="22" spans="3:13" ht="15" outlineLevel="1" x14ac:dyDescent="0.25">
      <c r="D22" s="4" t="s">
        <v>90</v>
      </c>
    </row>
    <row r="23" spans="3:13" outlineLevel="2" x14ac:dyDescent="0.2"/>
    <row r="24" spans="3:13" outlineLevel="2" x14ac:dyDescent="0.2">
      <c r="E24" s="13" t="s">
        <v>103</v>
      </c>
      <c r="F24" s="13" t="s">
        <v>101</v>
      </c>
      <c r="G24" s="13" t="s">
        <v>102</v>
      </c>
      <c r="H24" s="13" t="s">
        <v>82</v>
      </c>
      <c r="I24" s="13" t="str">
        <f>Data[[#Headers],[A]]</f>
        <v>A</v>
      </c>
      <c r="J24" s="13" t="str">
        <f>Data[[#Headers],[B]]</f>
        <v>B</v>
      </c>
      <c r="K24" s="13" t="str">
        <f>Data[[#Headers],[C]]</f>
        <v>C</v>
      </c>
      <c r="L24" s="13" t="str">
        <f>Data[[#Headers],[D]]</f>
        <v>D</v>
      </c>
      <c r="M24" s="13" t="str">
        <f>Data[[#Headers],[E]]</f>
        <v>E</v>
      </c>
    </row>
    <row r="25" spans="3:13" outlineLevel="2" x14ac:dyDescent="0.2">
      <c r="E25" cm="1">
        <f t="array" ref="E25:E43">_xlfn.SEQUENCE(COUNTA(Data[Markets])*3+1,,0)</f>
        <v>0</v>
      </c>
      <c r="F25" cm="1">
        <f t="array" ref="F25:F43">QUOTIENT(_xlfn.ANCHORARRAY(E25)+1,3)</f>
        <v>0</v>
      </c>
      <c r="G25" cm="1">
        <f t="array" ref="G25:G43">ROUNDUP(_xlfn.ANCHORARRAY(E25)/3,0)*(MOD(_xlfn.ANCHORARRAY(E25),3)&gt;0)</f>
        <v>0</v>
      </c>
      <c r="H25" s="34" cm="1">
        <f t="array" ref="H25:H43">IF(_xlfn.ANCHORARRAY(F25)=0,0,INDEX(_xlfn.SCAN(0,Data[Market Share],_xlfn.LAMBDA(_xlpm.x,_xlpm.y,_xlpm.x+_xlpm.y)),_xlfn.ANCHORARRAY(F25)))</f>
        <v>0</v>
      </c>
      <c r="I25" s="34" cm="1">
        <f t="array" ref="I25:I43">IF(_xlfn.ANCHORARRAY($G$25)&lt;&gt;0,INDEX(Data[A],_xlfn.ANCHORARRAY($G$25)),0)</f>
        <v>0</v>
      </c>
      <c r="J25" s="34" cm="1">
        <f t="array" ref="J25:J43">IF(_xlfn.ANCHORARRAY($G$25)&lt;&gt;0,INDEX(Data[B],_xlfn.ANCHORARRAY($G$25)),0)</f>
        <v>0</v>
      </c>
      <c r="K25" s="34" cm="1">
        <f t="array" ref="K25:K43">IF(_xlfn.ANCHORARRAY($G$25)&lt;&gt;0,INDEX(Data[C],_xlfn.ANCHORARRAY($G$25)),0)</f>
        <v>0</v>
      </c>
      <c r="L25" s="34" cm="1">
        <f t="array" ref="L25:L43">IF(_xlfn.ANCHORARRAY($G$25)&lt;&gt;0,INDEX(Data[D],_xlfn.ANCHORARRAY($G$25)),0)</f>
        <v>0</v>
      </c>
      <c r="M25" s="34" cm="1">
        <f t="array" ref="M25:M43">IF(_xlfn.ANCHORARRAY($G$25)&lt;&gt;0,INDEX(Data[E],_xlfn.ANCHORARRAY($G$25)),0)</f>
        <v>0</v>
      </c>
    </row>
    <row r="26" spans="3:13" outlineLevel="2" x14ac:dyDescent="0.2">
      <c r="E26">
        <v>1</v>
      </c>
      <c r="F26">
        <v>0</v>
      </c>
      <c r="G26">
        <v>1</v>
      </c>
      <c r="H26" s="34">
        <v>0</v>
      </c>
      <c r="I26" s="34">
        <v>20</v>
      </c>
      <c r="J26" s="34">
        <v>14</v>
      </c>
      <c r="K26" s="34">
        <v>25</v>
      </c>
      <c r="L26" s="34">
        <v>23</v>
      </c>
      <c r="M26" s="34">
        <v>18</v>
      </c>
    </row>
    <row r="27" spans="3:13" outlineLevel="2" x14ac:dyDescent="0.2">
      <c r="E27">
        <v>2</v>
      </c>
      <c r="F27">
        <v>1</v>
      </c>
      <c r="G27">
        <v>1</v>
      </c>
      <c r="H27" s="34">
        <v>16</v>
      </c>
      <c r="I27" s="34">
        <v>20</v>
      </c>
      <c r="J27" s="34">
        <v>14</v>
      </c>
      <c r="K27" s="34">
        <v>25</v>
      </c>
      <c r="L27" s="34">
        <v>23</v>
      </c>
      <c r="M27" s="34">
        <v>18</v>
      </c>
    </row>
    <row r="28" spans="3:13" outlineLevel="2" x14ac:dyDescent="0.2">
      <c r="E28">
        <v>3</v>
      </c>
      <c r="F28">
        <v>1</v>
      </c>
      <c r="G28">
        <v>0</v>
      </c>
      <c r="H28" s="34">
        <v>16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</row>
    <row r="29" spans="3:13" outlineLevel="2" x14ac:dyDescent="0.2">
      <c r="E29">
        <v>4</v>
      </c>
      <c r="F29">
        <v>1</v>
      </c>
      <c r="G29">
        <v>2</v>
      </c>
      <c r="H29" s="34">
        <v>16</v>
      </c>
      <c r="I29" s="34">
        <v>21</v>
      </c>
      <c r="J29" s="34">
        <v>25</v>
      </c>
      <c r="K29" s="34">
        <v>19</v>
      </c>
      <c r="L29" s="34">
        <v>10</v>
      </c>
      <c r="M29" s="34">
        <v>25</v>
      </c>
    </row>
    <row r="30" spans="3:13" outlineLevel="2" x14ac:dyDescent="0.2">
      <c r="E30">
        <v>5</v>
      </c>
      <c r="F30">
        <v>2</v>
      </c>
      <c r="G30">
        <v>2</v>
      </c>
      <c r="H30" s="34">
        <v>36</v>
      </c>
      <c r="I30" s="34">
        <v>21</v>
      </c>
      <c r="J30" s="34">
        <v>25</v>
      </c>
      <c r="K30" s="34">
        <v>19</v>
      </c>
      <c r="L30" s="34">
        <v>10</v>
      </c>
      <c r="M30" s="34">
        <v>25</v>
      </c>
    </row>
    <row r="31" spans="3:13" outlineLevel="2" x14ac:dyDescent="0.2">
      <c r="E31">
        <v>6</v>
      </c>
      <c r="F31">
        <v>2</v>
      </c>
      <c r="G31">
        <v>0</v>
      </c>
      <c r="H31" s="34">
        <v>36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</row>
    <row r="32" spans="3:13" outlineLevel="2" x14ac:dyDescent="0.2">
      <c r="E32">
        <v>7</v>
      </c>
      <c r="F32">
        <v>2</v>
      </c>
      <c r="G32">
        <v>3</v>
      </c>
      <c r="H32" s="34">
        <v>36</v>
      </c>
      <c r="I32" s="34">
        <v>20</v>
      </c>
      <c r="J32" s="34">
        <v>10</v>
      </c>
      <c r="K32" s="34">
        <v>17</v>
      </c>
      <c r="L32" s="34">
        <v>17</v>
      </c>
      <c r="M32" s="34">
        <v>36</v>
      </c>
    </row>
    <row r="33" spans="4:13" outlineLevel="2" x14ac:dyDescent="0.2">
      <c r="E33">
        <v>8</v>
      </c>
      <c r="F33">
        <v>3</v>
      </c>
      <c r="G33">
        <v>3</v>
      </c>
      <c r="H33" s="34">
        <v>42</v>
      </c>
      <c r="I33" s="34">
        <v>20</v>
      </c>
      <c r="J33" s="34">
        <v>10</v>
      </c>
      <c r="K33" s="34">
        <v>17</v>
      </c>
      <c r="L33" s="34">
        <v>17</v>
      </c>
      <c r="M33" s="34">
        <v>36</v>
      </c>
    </row>
    <row r="34" spans="4:13" outlineLevel="2" x14ac:dyDescent="0.2">
      <c r="E34">
        <v>9</v>
      </c>
      <c r="F34">
        <v>3</v>
      </c>
      <c r="G34">
        <v>0</v>
      </c>
      <c r="H34" s="34">
        <v>42</v>
      </c>
      <c r="I34" s="34">
        <v>0</v>
      </c>
      <c r="J34" s="34">
        <v>0</v>
      </c>
      <c r="K34" s="34">
        <v>0</v>
      </c>
      <c r="L34" s="34">
        <v>0</v>
      </c>
      <c r="M34" s="34">
        <v>0</v>
      </c>
    </row>
    <row r="35" spans="4:13" outlineLevel="2" x14ac:dyDescent="0.2">
      <c r="E35">
        <v>10</v>
      </c>
      <c r="F35">
        <v>3</v>
      </c>
      <c r="G35">
        <v>4</v>
      </c>
      <c r="H35" s="34">
        <v>42</v>
      </c>
      <c r="I35" s="34">
        <v>24</v>
      </c>
      <c r="J35" s="34">
        <v>13</v>
      </c>
      <c r="K35" s="34">
        <v>22</v>
      </c>
      <c r="L35" s="34">
        <v>14</v>
      </c>
      <c r="M35" s="34">
        <v>27</v>
      </c>
    </row>
    <row r="36" spans="4:13" outlineLevel="2" x14ac:dyDescent="0.2">
      <c r="E36">
        <v>11</v>
      </c>
      <c r="F36">
        <v>4</v>
      </c>
      <c r="G36">
        <v>4</v>
      </c>
      <c r="H36" s="34">
        <v>57</v>
      </c>
      <c r="I36" s="34">
        <v>24</v>
      </c>
      <c r="J36" s="34">
        <v>13</v>
      </c>
      <c r="K36" s="34">
        <v>22</v>
      </c>
      <c r="L36" s="34">
        <v>14</v>
      </c>
      <c r="M36" s="34">
        <v>27</v>
      </c>
    </row>
    <row r="37" spans="4:13" outlineLevel="2" x14ac:dyDescent="0.2">
      <c r="E37">
        <v>12</v>
      </c>
      <c r="F37">
        <v>4</v>
      </c>
      <c r="G37">
        <v>0</v>
      </c>
      <c r="H37" s="34">
        <v>57</v>
      </c>
      <c r="I37" s="34">
        <v>0</v>
      </c>
      <c r="J37" s="34">
        <v>0</v>
      </c>
      <c r="K37" s="34">
        <v>0</v>
      </c>
      <c r="L37" s="34">
        <v>0</v>
      </c>
      <c r="M37" s="34">
        <v>0</v>
      </c>
    </row>
    <row r="38" spans="4:13" outlineLevel="2" x14ac:dyDescent="0.2">
      <c r="E38">
        <v>13</v>
      </c>
      <c r="F38">
        <v>4</v>
      </c>
      <c r="G38">
        <v>5</v>
      </c>
      <c r="H38" s="34">
        <v>57</v>
      </c>
      <c r="I38" s="34">
        <v>21</v>
      </c>
      <c r="J38" s="34">
        <v>11</v>
      </c>
      <c r="K38" s="34">
        <v>21</v>
      </c>
      <c r="L38" s="34">
        <v>19</v>
      </c>
      <c r="M38" s="34">
        <v>28</v>
      </c>
    </row>
    <row r="39" spans="4:13" outlineLevel="2" x14ac:dyDescent="0.2">
      <c r="E39">
        <v>14</v>
      </c>
      <c r="F39">
        <v>5</v>
      </c>
      <c r="G39">
        <v>5</v>
      </c>
      <c r="H39" s="34">
        <v>73</v>
      </c>
      <c r="I39" s="34">
        <v>21</v>
      </c>
      <c r="J39" s="34">
        <v>11</v>
      </c>
      <c r="K39" s="34">
        <v>21</v>
      </c>
      <c r="L39" s="34">
        <v>19</v>
      </c>
      <c r="M39" s="34">
        <v>28</v>
      </c>
    </row>
    <row r="40" spans="4:13" outlineLevel="2" x14ac:dyDescent="0.2">
      <c r="E40">
        <v>15</v>
      </c>
      <c r="F40">
        <v>5</v>
      </c>
      <c r="G40">
        <v>0</v>
      </c>
      <c r="H40" s="34">
        <v>73</v>
      </c>
      <c r="I40" s="34">
        <v>0</v>
      </c>
      <c r="J40" s="34">
        <v>0</v>
      </c>
      <c r="K40" s="34">
        <v>0</v>
      </c>
      <c r="L40" s="34">
        <v>0</v>
      </c>
      <c r="M40" s="34">
        <v>0</v>
      </c>
    </row>
    <row r="41" spans="4:13" outlineLevel="2" x14ac:dyDescent="0.2">
      <c r="E41">
        <v>16</v>
      </c>
      <c r="F41">
        <v>5</v>
      </c>
      <c r="G41">
        <v>6</v>
      </c>
      <c r="H41" s="34">
        <v>73</v>
      </c>
      <c r="I41" s="34">
        <v>15</v>
      </c>
      <c r="J41" s="34">
        <v>12</v>
      </c>
      <c r="K41" s="34">
        <v>22</v>
      </c>
      <c r="L41" s="34">
        <v>22</v>
      </c>
      <c r="M41" s="34">
        <v>29</v>
      </c>
    </row>
    <row r="42" spans="4:13" outlineLevel="2" x14ac:dyDescent="0.2">
      <c r="E42">
        <v>17</v>
      </c>
      <c r="F42">
        <v>6</v>
      </c>
      <c r="G42">
        <v>6</v>
      </c>
      <c r="H42" s="34">
        <v>100</v>
      </c>
      <c r="I42" s="34">
        <v>15</v>
      </c>
      <c r="J42" s="34">
        <v>12</v>
      </c>
      <c r="K42" s="34">
        <v>22</v>
      </c>
      <c r="L42" s="34">
        <v>22</v>
      </c>
      <c r="M42" s="34">
        <v>29</v>
      </c>
    </row>
    <row r="43" spans="4:13" outlineLevel="2" x14ac:dyDescent="0.2">
      <c r="E43">
        <v>18</v>
      </c>
      <c r="F43">
        <v>6</v>
      </c>
      <c r="G43">
        <v>0</v>
      </c>
      <c r="H43" s="34">
        <v>100</v>
      </c>
      <c r="I43" s="34">
        <v>0</v>
      </c>
      <c r="J43" s="34">
        <v>0</v>
      </c>
      <c r="K43" s="34">
        <v>0</v>
      </c>
      <c r="L43" s="34">
        <v>0</v>
      </c>
      <c r="M43" s="34">
        <v>0</v>
      </c>
    </row>
    <row r="44" spans="4:13" outlineLevel="2" x14ac:dyDescent="0.2"/>
    <row r="45" spans="4:13" outlineLevel="2" x14ac:dyDescent="0.2"/>
    <row r="46" spans="4:13" ht="15" outlineLevel="1" x14ac:dyDescent="0.25">
      <c r="D46" s="4" t="s">
        <v>91</v>
      </c>
    </row>
    <row r="47" spans="4:13" outlineLevel="2" x14ac:dyDescent="0.2"/>
    <row r="48" spans="4:13" outlineLevel="2" x14ac:dyDescent="0.2">
      <c r="E48" s="13" t="s">
        <v>92</v>
      </c>
      <c r="F48" s="13" t="s">
        <v>94</v>
      </c>
      <c r="G48" s="13" t="s">
        <v>95</v>
      </c>
      <c r="H48" s="13" t="s">
        <v>96</v>
      </c>
      <c r="I48" s="13" t="s">
        <v>97</v>
      </c>
      <c r="J48" s="13" t="s">
        <v>98</v>
      </c>
      <c r="K48" s="13" t="s">
        <v>99</v>
      </c>
      <c r="L48" s="13" t="s">
        <v>93</v>
      </c>
      <c r="M48" s="19" t="s">
        <v>105</v>
      </c>
    </row>
    <row r="49" spans="3:12" outlineLevel="2" x14ac:dyDescent="0.2">
      <c r="E49" s="50" cm="1">
        <f t="array" ref="E49:E54">Data[Market Share]/2+_xlfn.VSTACK({0},_xlfn.DROP(_xlfn.SCAN(0,Data[Market Share],_xlfn.LAMBDA(_xlpm.x,_xlpm.y,_xlpm.x+_xlpm.y)),-1))</f>
        <v>8</v>
      </c>
      <c r="F49" s="50" cm="1">
        <f t="array" ref="F49:J54">Data[[A]:[E]]/2+_xlfn.HSTACK(_xlfn.SEQUENCE(COUNTA(Data[Markets]),,0,0),
_xlfn.MAKEARRAY(ROWS(Data[[A]:[E]]), COLUMNS(Data[[A]:[E]])-1,_xlfn.LAMBDA(_xlpm.r,_xlpm.c,SUM( INDEX(Data[[A]:[E]],_xlpm.r,_xlfn.SEQUENCE(_xlpm.c)) ))))</f>
        <v>10</v>
      </c>
      <c r="G49" s="50">
        <v>27</v>
      </c>
      <c r="H49" s="50">
        <v>46.5</v>
      </c>
      <c r="I49" s="50">
        <v>70.5</v>
      </c>
      <c r="J49" s="50">
        <v>91</v>
      </c>
      <c r="K49" s="49">
        <v>110</v>
      </c>
      <c r="L49" t="str">
        <f>E11&amp;"%" &amp;CHAR(10)&amp;"of the Market"</f>
        <v>16%
of the Market</v>
      </c>
    </row>
    <row r="50" spans="3:12" outlineLevel="2" x14ac:dyDescent="0.2">
      <c r="E50" s="50">
        <v>26</v>
      </c>
      <c r="F50" s="50">
        <v>10.5</v>
      </c>
      <c r="G50" s="50">
        <v>33.5</v>
      </c>
      <c r="H50" s="50">
        <v>55.5</v>
      </c>
      <c r="I50" s="50">
        <v>70</v>
      </c>
      <c r="J50" s="50">
        <v>87.5</v>
      </c>
      <c r="K50" s="49">
        <v>110</v>
      </c>
      <c r="L50" t="str">
        <f t="shared" ref="L50:L54" si="0">E12&amp;"%" &amp;CHAR(10)&amp;"of the Market"</f>
        <v>20%
of the Market</v>
      </c>
    </row>
    <row r="51" spans="3:12" outlineLevel="2" x14ac:dyDescent="0.2">
      <c r="E51" s="50">
        <v>39</v>
      </c>
      <c r="F51" s="50">
        <v>10</v>
      </c>
      <c r="G51" s="50">
        <v>25</v>
      </c>
      <c r="H51" s="50">
        <v>38.5</v>
      </c>
      <c r="I51" s="50">
        <v>55.5</v>
      </c>
      <c r="J51" s="50">
        <v>82</v>
      </c>
      <c r="K51" s="49">
        <v>110</v>
      </c>
      <c r="L51" t="str">
        <f t="shared" si="0"/>
        <v>6%
of the Market</v>
      </c>
    </row>
    <row r="52" spans="3:12" outlineLevel="2" x14ac:dyDescent="0.2">
      <c r="E52" s="50">
        <v>49.5</v>
      </c>
      <c r="F52" s="50">
        <v>12</v>
      </c>
      <c r="G52" s="50">
        <v>30.5</v>
      </c>
      <c r="H52" s="50">
        <v>48</v>
      </c>
      <c r="I52" s="50">
        <v>66</v>
      </c>
      <c r="J52" s="50">
        <v>86.5</v>
      </c>
      <c r="K52" s="49">
        <v>110</v>
      </c>
      <c r="L52" t="str">
        <f t="shared" si="0"/>
        <v>15%
of the Market</v>
      </c>
    </row>
    <row r="53" spans="3:12" outlineLevel="2" x14ac:dyDescent="0.2">
      <c r="E53" s="50">
        <v>65</v>
      </c>
      <c r="F53" s="50">
        <v>10.5</v>
      </c>
      <c r="G53" s="50">
        <v>26.5</v>
      </c>
      <c r="H53" s="50">
        <v>42.5</v>
      </c>
      <c r="I53" s="50">
        <v>62.5</v>
      </c>
      <c r="J53" s="50">
        <v>86</v>
      </c>
      <c r="K53" s="49">
        <v>110</v>
      </c>
      <c r="L53" t="str">
        <f t="shared" si="0"/>
        <v>16%
of the Market</v>
      </c>
    </row>
    <row r="54" spans="3:12" outlineLevel="2" x14ac:dyDescent="0.2">
      <c r="E54" s="50">
        <v>86.5</v>
      </c>
      <c r="F54" s="50">
        <v>7.5</v>
      </c>
      <c r="G54" s="50">
        <v>21</v>
      </c>
      <c r="H54" s="50">
        <v>38</v>
      </c>
      <c r="I54" s="50">
        <v>60</v>
      </c>
      <c r="J54" s="50">
        <v>85.5</v>
      </c>
      <c r="K54" s="49">
        <v>110</v>
      </c>
      <c r="L54" t="str">
        <f t="shared" si="0"/>
        <v>27%
of the Market</v>
      </c>
    </row>
    <row r="55" spans="3:12" outlineLevel="2" x14ac:dyDescent="0.2"/>
    <row r="56" spans="3:12" outlineLevel="2" x14ac:dyDescent="0.2"/>
    <row r="57" spans="3:12" ht="16.5" outlineLevel="2" x14ac:dyDescent="0.25">
      <c r="C57" s="3" t="s">
        <v>108</v>
      </c>
    </row>
    <row r="58" spans="3:12" outlineLevel="2" x14ac:dyDescent="0.2"/>
    <row r="59" spans="3:12" ht="15" outlineLevel="1" x14ac:dyDescent="0.25">
      <c r="D59" s="4" t="s">
        <v>106</v>
      </c>
    </row>
    <row r="60" spans="3:12" outlineLevel="2" x14ac:dyDescent="0.2"/>
    <row r="61" spans="3:12" outlineLevel="2" x14ac:dyDescent="0.2"/>
    <row r="62" spans="3:12" outlineLevel="2" x14ac:dyDescent="0.2"/>
    <row r="63" spans="3:12" outlineLevel="2" x14ac:dyDescent="0.2"/>
    <row r="64" spans="3:12" outlineLevel="2" x14ac:dyDescent="0.2"/>
    <row r="65" outlineLevel="2" x14ac:dyDescent="0.2"/>
    <row r="66" outlineLevel="2" x14ac:dyDescent="0.2"/>
    <row r="67" outlineLevel="2" x14ac:dyDescent="0.2"/>
    <row r="68" outlineLevel="2" x14ac:dyDescent="0.2"/>
    <row r="69" outlineLevel="2" x14ac:dyDescent="0.2"/>
    <row r="70" outlineLevel="2" x14ac:dyDescent="0.2"/>
    <row r="71" outlineLevel="2" x14ac:dyDescent="0.2"/>
    <row r="72" outlineLevel="2" x14ac:dyDescent="0.2"/>
    <row r="73" outlineLevel="2" x14ac:dyDescent="0.2"/>
    <row r="74" outlineLevel="2" x14ac:dyDescent="0.2"/>
    <row r="75" outlineLevel="2" x14ac:dyDescent="0.2"/>
    <row r="76" outlineLevel="2" x14ac:dyDescent="0.2"/>
    <row r="77" outlineLevel="2" x14ac:dyDescent="0.2"/>
    <row r="78" outlineLevel="2" x14ac:dyDescent="0.2"/>
    <row r="79" outlineLevel="2" x14ac:dyDescent="0.2"/>
    <row r="80" outlineLevel="2" x14ac:dyDescent="0.2"/>
    <row r="81" outlineLevel="2" x14ac:dyDescent="0.2"/>
    <row r="82" outlineLevel="2" x14ac:dyDescent="0.2"/>
    <row r="83" outlineLevel="2" x14ac:dyDescent="0.2"/>
    <row r="84" outlineLevel="2" x14ac:dyDescent="0.2"/>
    <row r="85" outlineLevel="2" x14ac:dyDescent="0.2"/>
    <row r="86" outlineLevel="2" x14ac:dyDescent="0.2"/>
    <row r="87" outlineLevel="2" x14ac:dyDescent="0.2"/>
    <row r="88" outlineLevel="2" x14ac:dyDescent="0.2"/>
    <row r="89" outlineLevel="2" x14ac:dyDescent="0.2"/>
    <row r="90" outlineLevel="2" x14ac:dyDescent="0.2"/>
    <row r="91" outlineLevel="2" x14ac:dyDescent="0.2"/>
    <row r="92" outlineLevel="2" x14ac:dyDescent="0.2"/>
    <row r="93" outlineLevel="2" x14ac:dyDescent="0.2"/>
    <row r="94" outlineLevel="2" x14ac:dyDescent="0.2"/>
    <row r="95" outlineLevel="2" x14ac:dyDescent="0.2"/>
    <row r="96" outlineLevel="2" x14ac:dyDescent="0.2"/>
    <row r="97" spans="4:4" outlineLevel="2" x14ac:dyDescent="0.2"/>
    <row r="98" spans="4:4" outlineLevel="2" x14ac:dyDescent="0.2"/>
    <row r="99" spans="4:4" outlineLevel="2" x14ac:dyDescent="0.2"/>
    <row r="100" spans="4:4" outlineLevel="2" x14ac:dyDescent="0.2"/>
    <row r="101" spans="4:4" outlineLevel="2" x14ac:dyDescent="0.2"/>
    <row r="102" spans="4:4" outlineLevel="2" x14ac:dyDescent="0.2"/>
    <row r="103" spans="4:4" outlineLevel="2" x14ac:dyDescent="0.2"/>
    <row r="104" spans="4:4" outlineLevel="2" x14ac:dyDescent="0.2"/>
    <row r="105" spans="4:4" outlineLevel="2" x14ac:dyDescent="0.2"/>
    <row r="106" spans="4:4" outlineLevel="2" x14ac:dyDescent="0.2"/>
    <row r="107" spans="4:4" ht="15" outlineLevel="2" x14ac:dyDescent="0.25">
      <c r="D107" s="4" t="s">
        <v>107</v>
      </c>
    </row>
    <row r="108" spans="4:4" outlineLevel="2" x14ac:dyDescent="0.2"/>
    <row r="109" spans="4:4" outlineLevel="2" x14ac:dyDescent="0.2"/>
  </sheetData>
  <mergeCells count="1">
    <mergeCell ref="A3:E3"/>
  </mergeCells>
  <phoneticPr fontId="8" type="noConversion"/>
  <conditionalFormatting sqref="F4">
    <cfRule type="cellIs" dxfId="2" priority="1" operator="notEqual">
      <formula>0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R1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Error Checks</v>
      </c>
      <c r="I1" s="52"/>
      <c r="J1" s="52"/>
    </row>
    <row r="2" spans="1:11" ht="18" x14ac:dyDescent="0.25">
      <c r="A2" s="40" t="str">
        <f ca="1">Model_Name</f>
        <v>SP Marimekko Chart.xlsm</v>
      </c>
    </row>
    <row r="3" spans="1:11" x14ac:dyDescent="0.2">
      <c r="A3" s="52" t="s">
        <v>1</v>
      </c>
      <c r="B3" s="52"/>
      <c r="C3" s="52"/>
      <c r="D3" s="52"/>
      <c r="E3" s="52"/>
    </row>
    <row r="4" spans="1:11" ht="14.25" x14ac:dyDescent="0.2">
      <c r="B4" t="s">
        <v>2</v>
      </c>
      <c r="F4" s="1">
        <f>Overall_Error_Check</f>
        <v>0</v>
      </c>
    </row>
    <row r="6" spans="1:11" ht="16.5" thickBot="1" x14ac:dyDescent="0.3">
      <c r="B6" s="41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5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2">
    <mergeCell ref="I1:J1"/>
    <mergeCell ref="A3:E3"/>
  </mergeCells>
  <conditionalFormatting sqref="F4 I17">
    <cfRule type="cellIs" dxfId="1" priority="3" operator="notEqual">
      <formula>0</formula>
    </cfRule>
  </conditionalFormatting>
  <conditionalFormatting sqref="I12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e67f3b247dd811f116325cb79bd32355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2e8ade43a7ea9a5ad03b9775330a245f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263C1E-6ED2-4A8A-AB73-770BCAA5465A}"/>
</file>

<file path=customXml/itemProps2.xml><?xml version="1.0" encoding="utf-8"?>
<ds:datastoreItem xmlns:ds="http://schemas.openxmlformats.org/officeDocument/2006/customXml" ds:itemID="{DCD04446-903C-4301-A39C-B57EDCB57BE1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customXml/itemProps3.xml><?xml version="1.0" encoding="utf-8"?>
<ds:datastoreItem xmlns:ds="http://schemas.openxmlformats.org/officeDocument/2006/customXml" ds:itemID="{A364314D-1966-4083-AAD5-7A97351D21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Cover</vt:lpstr>
      <vt:lpstr>Navigator</vt:lpstr>
      <vt:lpstr>Style Guide</vt:lpstr>
      <vt:lpstr>Model Parameters</vt:lpstr>
      <vt:lpstr>Marimekko Chart</vt:lpstr>
      <vt:lpstr>Error Checks</vt:lpstr>
      <vt:lpstr>Client_Name</vt:lpstr>
      <vt:lpstr>Days_in_Year</vt:lpstr>
      <vt:lpstr>Days_in_Yr</vt:lpstr>
      <vt:lpstr>HL_1</vt:lpstr>
      <vt:lpstr>HL_3</vt:lpstr>
      <vt:lpstr>HL_4</vt:lpstr>
      <vt:lpstr>HL_6</vt:lpstr>
      <vt:lpstr>HL_7</vt:lpstr>
      <vt:lpstr>HL_Model_Parameters</vt:lpstr>
      <vt:lpstr>HL_Navigator</vt:lpstr>
      <vt:lpstr>Model_Name</vt:lpstr>
      <vt:lpstr>Months_in_Half_Yr</vt:lpstr>
      <vt:lpstr>Months_in_Month</vt:lpstr>
      <vt:lpstr>Months_in_Qtr</vt:lpstr>
      <vt:lpstr>Months_in_Quarter</vt:lpstr>
      <vt:lpstr>Months_in_Year</vt:lpstr>
      <vt:lpstr>Overall_Error_Check</vt:lpstr>
      <vt:lpstr>Quarters_in_Year</vt:lpstr>
      <vt:lpstr>Rounding_Accuracy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dcterms:created xsi:type="dcterms:W3CDTF">2012-10-20T20:39:47Z</dcterms:created>
  <dcterms:modified xsi:type="dcterms:W3CDTF">2023-09-08T01:08:23Z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