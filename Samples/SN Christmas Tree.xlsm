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Research/Formula Development/Christmas Tree/"/>
    </mc:Choice>
  </mc:AlternateContent>
  <xr:revisionPtr revIDLastSave="32" documentId="8_{F56BE99A-06CA-41D4-8C24-30102478F1DB}" xr6:coauthVersionLast="47" xr6:coauthVersionMax="47" xr10:uidLastSave="{072EC052-A863-4439-A56F-4FB73390AE95}"/>
  <bookViews>
    <workbookView xWindow="28680" yWindow="-120" windowWidth="29040" windowHeight="15720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Christmas Trees" sheetId="11" r:id="rId5"/>
    <sheet name="Error Checks" sheetId="5" r:id="rId6"/>
  </sheets>
  <definedNames>
    <definedName name="_xleta.SWITCH" hidden="1" xlm="1">#NAME?</definedName>
    <definedName name="_xlpm.names" hidden="1" xlm="1">#NAME?</definedName>
    <definedName name="_xlpm.randarr" hidden="1" xlm="1">#NAME?</definedName>
    <definedName name="_xlpm.recipient" hidden="1" xlm="1">#NAME?</definedName>
    <definedName name="_xlpm.sender" hidden="1" xlm="1">#NAME?</definedName>
    <definedName name="Candy_Cane_1">_xlfn.SWITCH('Christmas Trees'!$I$57,0,'Christmas Trees'!$AX$136:$BP$159,1,'Christmas Trees'!$AX$162:$BP$185)</definedName>
    <definedName name="Candy_Cane_2">_xlfn.SWITCH('Christmas Trees'!$I$57,1,'Christmas Trees'!$AX$136:$BP$159,0,'Christmas Trees'!$AX$162:$BP$185)</definedName>
    <definedName name="Christmas_Tree">'Christmas Trees'!$L$76:$AL$108</definedName>
    <definedName name="Client_Name">'Model Parameters'!$G$12</definedName>
    <definedName name="Days_in_Year">'Model Parameters'!$G$19</definedName>
    <definedName name="Email_List">#REF!</definedName>
    <definedName name="HL_1">Cover!$A$3</definedName>
    <definedName name="HL_3">'Style Guide'!$A$3</definedName>
    <definedName name="HL_4">'Model Parameters'!$A$3</definedName>
    <definedName name="HL_6">'Christmas Trees'!$A$3</definedName>
    <definedName name="HL_7">'Error Checks'!$A$3</definedName>
    <definedName name="HL_8">'Christmas Trees'!$A$3</definedName>
    <definedName name="HL_Model_Parameters">'Model Parameters'!$A$5</definedName>
    <definedName name="HL_Navigator">Navigator!$A$1</definedName>
    <definedName name="LU_Stars">'Christmas Trees'!$D$11:$D$40</definedName>
    <definedName name="Model_Name">'Model Parameters'!$G$11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Year">'Model Parameters'!$G$23</definedName>
    <definedName name="Overall_Error_Check">'Error Checks'!$I$17</definedName>
    <definedName name="Present_Box_1">'Christmas Trees'!$L$114:$X$125</definedName>
    <definedName name="Present_Box_2">'Christmas Trees'!$Z$114:$AL$125</definedName>
    <definedName name="Quarters_in_Year">'Model Parameters'!$G$24</definedName>
    <definedName name="Rounding_Accuracy">'Model Parameters'!$G$26</definedName>
    <definedName name="Subjects">'Christmas Trees'!#REF!</definedName>
    <definedName name="Text_Swtich_1">'Christmas Trees'!$G$63</definedName>
    <definedName name="Text_Swtich_2">'Christmas Trees'!$G$70</definedName>
    <definedName name="Thousand">'Model Parameters'!$G$31</definedName>
    <definedName name="Very_Large_Number">'Model Parameters'!$G$28</definedName>
    <definedName name="Very_Small_Number">'Model Parameters'!$G$29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3" i="11" l="1"/>
  <c r="L71" i="11" s="1" a="1"/>
  <c r="L71" i="11" s="1"/>
  <c r="I56" i="11"/>
  <c r="G47" i="11"/>
  <c r="X97" i="11" s="1" a="1"/>
  <c r="X97" i="11" s="1"/>
  <c r="G64" i="11" l="1"/>
  <c r="AA81" i="11" a="1"/>
  <c r="AA81" i="11" s="1"/>
  <c r="G48" i="11"/>
  <c r="H67" i="11" l="1"/>
  <c r="I57" i="11"/>
  <c r="J2" i="1" a="1"/>
  <c r="J2" i="1" s="1"/>
  <c r="I66" i="11"/>
  <c r="AK103" i="11" l="1" a="1"/>
  <c r="AK103" i="11" s="1"/>
  <c r="U103" i="11" a="1"/>
  <c r="U103" i="11" s="1"/>
  <c r="M103" i="11" a="1"/>
  <c r="M103" i="11" s="1"/>
  <c r="AC101" i="11" a="1"/>
  <c r="AC101" i="11" s="1"/>
  <c r="P101" i="11" a="1"/>
  <c r="P101" i="11" s="1"/>
  <c r="AA99" i="11" a="1"/>
  <c r="AA99" i="11" s="1"/>
  <c r="U99" i="11" a="1"/>
  <c r="U99" i="11" s="1"/>
  <c r="AH97" i="11" a="1"/>
  <c r="AH97" i="11" s="1"/>
  <c r="AD95" i="11" a="1"/>
  <c r="AD95" i="11" s="1"/>
  <c r="R95" i="11" a="1"/>
  <c r="R95" i="11" s="1"/>
  <c r="AG93" i="11" a="1"/>
  <c r="AG93" i="11" s="1"/>
  <c r="Z93" i="11" a="1"/>
  <c r="Z93" i="11" s="1"/>
  <c r="U93" i="11" a="1"/>
  <c r="U93" i="11" s="1"/>
  <c r="AB91" i="11" a="1"/>
  <c r="AB91" i="11" s="1"/>
  <c r="X89" i="11" a="1"/>
  <c r="X89" i="11" s="1"/>
  <c r="T89" i="11" a="1"/>
  <c r="T89" i="11" s="1"/>
  <c r="AC87" i="11" a="1"/>
  <c r="AC87" i="11" s="1"/>
  <c r="Y85" i="11" a="1"/>
  <c r="Y85" i="11" s="1"/>
  <c r="U85" i="11" a="1"/>
  <c r="U85" i="11" s="1"/>
  <c r="X79" i="11" a="1"/>
  <c r="X79" i="11" s="1"/>
  <c r="AG101" i="11" a="1"/>
  <c r="AG101" i="11" s="1"/>
  <c r="H51" i="11" l="1"/>
  <c r="Y76" i="11" a="1"/>
  <c r="Y76" i="11" s="1"/>
  <c r="B6" i="11"/>
  <c r="A1" i="11"/>
  <c r="C6" i="11" l="1"/>
  <c r="F12" i="3"/>
  <c r="I50" i="11"/>
  <c r="A1" i="5" l="1"/>
  <c r="I37" i="4" l="1"/>
  <c r="A1" i="2" l="1"/>
  <c r="E17" i="5"/>
  <c r="I17" i="5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B6" i="2"/>
  <c r="B15" i="2" s="1"/>
  <c r="A2" i="11" l="1"/>
  <c r="F4" i="11"/>
  <c r="F4" i="5"/>
  <c r="I4" i="2"/>
  <c r="G4" i="3"/>
  <c r="I4" i="4"/>
  <c r="A2" i="2"/>
  <c r="A2" i="5"/>
  <c r="B56" i="4"/>
  <c r="A2" i="4"/>
  <c r="A2" i="3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<sst xmlns="http://schemas.openxmlformats.org/spreadsheetml/2006/main" count="151" uniqueCount="118">
  <si>
    <t>Model Parameters</t>
  </si>
  <si>
    <t>Navigator</t>
  </si>
  <si>
    <t>Error Checks:</t>
  </si>
  <si>
    <t>General</t>
  </si>
  <si>
    <t>Key Inputs</t>
  </si>
  <si>
    <t>Model Name</t>
  </si>
  <si>
    <t>Client Name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</si>
  <si>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</si>
  <si>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</si>
  <si>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</si>
  <si>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</si>
  <si>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</si>
  <si>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</si>
  <si>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</si>
  <si>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</si>
  <si>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</si>
  <si>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</si>
  <si>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</si>
  <si>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</si>
  <si>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General Cover Notes:</t>
  </si>
  <si>
    <t>Any queries, please e-mail:</t>
  </si>
  <si>
    <t>Website:</t>
  </si>
  <si>
    <t>www.sumproduct.com</t>
  </si>
  <si>
    <t>Table of Contents</t>
  </si>
  <si>
    <t>Cover</t>
  </si>
  <si>
    <t>Style Guide</t>
  </si>
  <si>
    <t>Formatting of Headers / Dividers</t>
  </si>
  <si>
    <t>Description</t>
  </si>
  <si>
    <t>Display</t>
  </si>
  <si>
    <t>Style Name</t>
  </si>
  <si>
    <t>Sheet Title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</si>
  <si>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</si>
  <si>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</si>
  <si>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</si>
  <si>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</si>
  <si>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</si>
  <si>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</si>
  <si>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</si>
  <si>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</si>
  <si>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</si>
  <si>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</si>
  <si>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</si>
  <si>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</si>
  <si>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</si>
  <si>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</si>
  <si>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</si>
  <si>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</si>
  <si>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</si>
  <si>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</si>
  <si>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</si>
  <si>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</si>
  <si>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</si>
  <si>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</si>
  <si>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</si>
  <si>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</si>
  <si>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</si>
  <si>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</si>
  <si>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</si>
  <si>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</si>
  <si>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</si>
  <si>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</si>
  <si>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</si>
  <si>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</si>
  <si>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</si>
  <si>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Error Checks</t>
  </si>
  <si>
    <t>Summary of Errors</t>
  </si>
  <si>
    <t>Assumptions</t>
  </si>
  <si>
    <t>Example</t>
  </si>
  <si>
    <t>A$</t>
  </si>
  <si>
    <t>SumProduct Pty Limited</t>
  </si>
  <si>
    <t>Christmas Tree</t>
  </si>
  <si>
    <t>Result</t>
  </si>
  <si>
    <t>Data Table</t>
  </si>
  <si>
    <t>Mod</t>
  </si>
  <si>
    <t>★</t>
  </si>
  <si>
    <t>☆</t>
  </si>
  <si>
    <t>✥</t>
  </si>
  <si>
    <t>✦</t>
  </si>
  <si>
    <t>✧</t>
  </si>
  <si>
    <t>❉</t>
  </si>
  <si>
    <t>✯</t>
  </si>
  <si>
    <t>✰</t>
  </si>
  <si>
    <t>✱</t>
  </si>
  <si>
    <t>✵</t>
  </si>
  <si>
    <t>✶</t>
  </si>
  <si>
    <t>✷</t>
  </si>
  <si>
    <t>✸</t>
  </si>
  <si>
    <t>✩</t>
  </si>
  <si>
    <t>✫</t>
  </si>
  <si>
    <t>✬</t>
  </si>
  <si>
    <t>✭</t>
  </si>
  <si>
    <t>⁂</t>
  </si>
  <si>
    <t>✹</t>
  </si>
  <si>
    <t>✺</t>
  </si>
  <si>
    <t>✼</t>
  </si>
  <si>
    <t>❈</t>
  </si>
  <si>
    <t>✮</t>
  </si>
  <si>
    <t>⭐</t>
  </si>
  <si>
    <t>🌟</t>
  </si>
  <si>
    <t>💫</t>
  </si>
  <si>
    <t>✨</t>
  </si>
  <si>
    <t>✳</t>
  </si>
  <si>
    <t>❇</t>
  </si>
  <si>
    <t>✴</t>
  </si>
  <si>
    <t>LU_Stars</t>
  </si>
  <si>
    <t>Christmas Tree Light Generator</t>
  </si>
  <si>
    <t>Ornaments</t>
  </si>
  <si>
    <t>Presents</t>
  </si>
  <si>
    <t>Primary Developer:  Sam Ngo</t>
  </si>
  <si>
    <t>sam.ngo@sumproduct.com</t>
  </si>
  <si>
    <t>Christmas Tree.</t>
  </si>
  <si>
    <t>Auto Text Switch</t>
  </si>
  <si>
    <t>Please press F9 repeatedly.</t>
  </si>
  <si>
    <t>Merry Christmas &amp; Happy New Year! Wishing you joy, health, and success throughout the seasons!</t>
  </si>
  <si>
    <t>Light Switch</t>
  </si>
  <si>
    <t>Sugar Cane</t>
  </si>
  <si>
    <t>Auto General Switch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</si>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</sst>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164" formatCode="&quot;ý&quot;;&quot;ý&quot;;&quot;þ&quot;"/>
    <numFmt numFmtId="165" formatCode="#,##0&quot;.&quot;"/>
    <numFmt numFmtId="166" formatCode="0.E+00"/>
    <numFmt numFmtId="167" formatCode=";;;"/>
    <numFmt numFmtId="168" formatCode="_(#,##0_);[Red]\(#,##0\);_(\-_);"/>
    <numFmt numFmtId="169" formatCode="_(&quot;$&quot;#,##0.0_);\(&quot;$&quot;#,##0.0\);_(&quot;-&quot;_)"/>
    <numFmt numFmtId="170" formatCode="_(#,##0.0_);\(#,##0.0\);_(&quot;-&quot;_)"/>
    <numFmt numFmtId="171" formatCode="&quot;Row &quot;###0"/>
    <numFmt numFmtId="172" formatCode="#,##0."/>
    <numFmt numFmtId="173" formatCode="_(#,##0_);\(#,##0\);_(\-_)"/>
    <numFmt numFmtId="174" formatCode="_(#,##0.00_);\(#,##0.00\);_(\-_._0_0_)"/>
    <numFmt numFmtId="175" formatCode="&quot;$&quot;* _(#,##0.00_);&quot;$&quot;* \(#,##0.00\);&quot;$&quot;* _(\-_._0_0_)"/>
    <numFmt numFmtId="176" formatCode="&quot;$&quot;* _(#,##0_);&quot;$&quot;* \(#,##0\);&quot;$&quot;* _(\-_)"/>
    <numFmt numFmtId="177" formatCode="[$-C09]dd\ mmm\ yy;@"/>
    <numFmt numFmtId="178" formatCode="mmm\ yy"/>
    <numFmt numFmtId="179" formatCode="[$-C09]d\ mmm\ yy;@"/>
  </numFmts>
  <fonts count="37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  <font>
      <sz val="20"/>
      <color theme="1"/>
      <name val="Arial"/>
      <family val="2"/>
    </font>
    <font>
      <sz val="72"/>
      <color rgb="FFFFC000"/>
      <name val="Arial"/>
      <family val="2"/>
    </font>
    <font>
      <b/>
      <sz val="9"/>
      <color rgb="FFFFFF00"/>
      <name val="Arial"/>
      <family val="2"/>
    </font>
    <font>
      <b/>
      <sz val="16"/>
      <color rgb="FFC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A96AC"/>
        <bgColor indexed="64"/>
      </patternFill>
    </fill>
    <fill>
      <patternFill patternType="solid">
        <fgColor rgb="FFC0BBBB"/>
        <bgColor indexed="64"/>
      </patternFill>
    </fill>
    <fill>
      <patternFill patternType="solid">
        <fgColor rgb="FFFFFAE5"/>
        <bgColor indexed="64"/>
      </patternFill>
    </fill>
    <fill>
      <patternFill patternType="solid">
        <fgColor rgb="FFE52D2E"/>
        <bgColor indexed="64"/>
      </patternFill>
    </fill>
    <fill>
      <patternFill patternType="solid">
        <fgColor rgb="FFFF643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174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0" applyNumberFormat="0" applyFill="0" applyBorder="0" applyProtection="0"/>
    <xf numFmtId="0" fontId="27" fillId="0" borderId="0" applyNumberFormat="0" applyFill="0" applyBorder="0">
      <alignment horizontal="left"/>
      <protection locked="0"/>
    </xf>
    <xf numFmtId="0" fontId="15" fillId="0" borderId="0" applyNumberFormat="0" applyFill="0" applyBorder="0" applyProtection="0"/>
    <xf numFmtId="0" fontId="16" fillId="3" borderId="1" applyNumberFormat="0" applyProtection="0"/>
    <xf numFmtId="0" fontId="17" fillId="0" borderId="0" applyNumberFormat="0" applyFill="0" applyAlignment="0" applyProtection="0"/>
    <xf numFmtId="0" fontId="18" fillId="0" borderId="0" applyNumberFormat="0" applyFill="0" applyAlignment="0" applyProtection="0"/>
    <xf numFmtId="0" fontId="26" fillId="0" borderId="3" applyNumberFormat="0" applyAlignment="0">
      <alignment horizontal="center"/>
    </xf>
    <xf numFmtId="0" fontId="25" fillId="4" borderId="4" applyNumberFormat="0" applyAlignment="0">
      <protection locked="0"/>
    </xf>
    <xf numFmtId="0" fontId="3" fillId="0" borderId="0" applyNumberFormat="0" applyFill="0" applyBorder="0"/>
    <xf numFmtId="179" fontId="23" fillId="0" borderId="0" applyFill="0" applyBorder="0" applyProtection="0">
      <alignment horizontal="center"/>
    </xf>
    <xf numFmtId="178" fontId="24" fillId="0" borderId="0" applyFill="0" applyBorder="0" applyProtection="0">
      <alignment horizontal="center"/>
    </xf>
    <xf numFmtId="167" fontId="1" fillId="5" borderId="4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8" fillId="6" borderId="5" applyNumberFormat="0" applyAlignment="0"/>
    <xf numFmtId="41" fontId="1" fillId="0" borderId="6" applyNumberFormat="0" applyFont="0" applyFill="0" applyAlignment="0"/>
    <xf numFmtId="168" fontId="1" fillId="0" borderId="7" applyNumberFormat="0" applyFont="0" applyFill="0" applyAlignment="0" applyProtection="0"/>
    <xf numFmtId="0" fontId="6" fillId="0" borderId="0"/>
    <xf numFmtId="0" fontId="32" fillId="0" borderId="8" applyNumberFormat="0" applyFill="0" applyBorder="0"/>
    <xf numFmtId="168" fontId="1" fillId="0" borderId="0" applyFont="0" applyFill="0" applyBorder="0" applyAlignment="0" applyProtection="0"/>
    <xf numFmtId="0" fontId="26" fillId="7" borderId="2" applyNumberFormat="0" applyAlignment="0" applyProtection="0"/>
    <xf numFmtId="0" fontId="7" fillId="0" borderId="0" applyNumberFormat="0" applyFill="0" applyBorder="0" applyAlignment="0" applyProtection="0"/>
    <xf numFmtId="169" fontId="8" fillId="0" borderId="0" applyFill="0" applyBorder="0">
      <alignment horizontal="right" vertical="center"/>
    </xf>
    <xf numFmtId="170" fontId="8" fillId="0" borderId="0" applyFill="0" applyBorder="0">
      <alignment horizontal="right" vertical="center"/>
    </xf>
    <xf numFmtId="171" fontId="29" fillId="7" borderId="4">
      <alignment horizontal="center"/>
    </xf>
    <xf numFmtId="41" fontId="5" fillId="8" borderId="5" applyFont="0" applyAlignment="0"/>
    <xf numFmtId="0" fontId="13" fillId="11" borderId="0" applyNumberFormat="0">
      <alignment horizontal="center"/>
    </xf>
    <xf numFmtId="0" fontId="30" fillId="0" borderId="0" applyNumberFormat="0" applyFill="0" applyBorder="0" applyProtection="0"/>
    <xf numFmtId="0" fontId="31" fillId="9" borderId="9" applyNumberFormat="0" applyAlignment="0">
      <protection locked="0"/>
    </xf>
    <xf numFmtId="0" fontId="22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10" applyNumberFormat="0" applyFill="0" applyAlignment="0" applyProtection="0"/>
    <xf numFmtId="0" fontId="19" fillId="0" borderId="11" applyNumberFormat="0" applyFill="0" applyAlignment="0" applyProtection="0"/>
    <xf numFmtId="0" fontId="18" fillId="0" borderId="12" applyNumberFormat="0" applyFill="0" applyAlignment="0" applyProtection="0"/>
    <xf numFmtId="172" fontId="16" fillId="3" borderId="1"/>
  </cellStyleXfs>
  <cellXfs count="72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6" fillId="3" borderId="1" xfId="10"/>
    <xf numFmtId="0" fontId="17" fillId="0" borderId="0" xfId="11"/>
    <xf numFmtId="0" fontId="18" fillId="0" borderId="0" xfId="12"/>
    <xf numFmtId="0" fontId="26" fillId="0" borderId="3" xfId="13" applyAlignment="1">
      <alignment horizontal="center"/>
    </xf>
    <xf numFmtId="166" fontId="26" fillId="0" borderId="3" xfId="13" applyNumberFormat="1" applyAlignment="1">
      <alignment horizontal="center"/>
    </xf>
    <xf numFmtId="0" fontId="9" fillId="0" borderId="0" xfId="0" applyFont="1"/>
    <xf numFmtId="0" fontId="10" fillId="0" borderId="0" xfId="12" applyFont="1" applyAlignment="1">
      <alignment horizontal="left" vertical="center"/>
    </xf>
    <xf numFmtId="0" fontId="11" fillId="0" borderId="0" xfId="0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27" fillId="0" borderId="0" xfId="8" applyAlignment="1">
      <alignment horizontal="right"/>
      <protection locked="0"/>
    </xf>
    <xf numFmtId="0" fontId="13" fillId="11" borderId="0" xfId="33">
      <alignment horizontal="center"/>
    </xf>
    <xf numFmtId="0" fontId="14" fillId="0" borderId="0" xfId="7" applyBorder="1"/>
    <xf numFmtId="0" fontId="12" fillId="0" borderId="0" xfId="0" applyFont="1" applyAlignment="1">
      <alignment horizontal="left"/>
    </xf>
    <xf numFmtId="0" fontId="15" fillId="0" borderId="0" xfId="9" applyBorder="1"/>
    <xf numFmtId="0" fontId="0" fillId="0" borderId="0" xfId="0" applyAlignment="1">
      <alignment horizontal="left"/>
    </xf>
    <xf numFmtId="0" fontId="19" fillId="0" borderId="0" xfId="6" applyBorder="1"/>
    <xf numFmtId="0" fontId="32" fillId="0" borderId="0" xfId="25" applyBorder="1"/>
    <xf numFmtId="0" fontId="25" fillId="4" borderId="4" xfId="14">
      <protection locked="0"/>
    </xf>
    <xf numFmtId="0" fontId="12" fillId="0" borderId="0" xfId="0" applyFont="1"/>
    <xf numFmtId="0" fontId="26" fillId="0" borderId="3" xfId="13" applyAlignment="1"/>
    <xf numFmtId="167" fontId="1" fillId="5" borderId="4" xfId="18"/>
    <xf numFmtId="164" fontId="2" fillId="2" borderId="2" xfId="19">
      <alignment horizontal="center"/>
      <protection locked="0"/>
    </xf>
    <xf numFmtId="0" fontId="28" fillId="6" borderId="5" xfId="21" applyNumberFormat="1"/>
    <xf numFmtId="0" fontId="0" fillId="0" borderId="6" xfId="22" applyNumberFormat="1" applyFont="1"/>
    <xf numFmtId="0" fontId="0" fillId="0" borderId="7" xfId="23" applyNumberFormat="1" applyFont="1"/>
    <xf numFmtId="0" fontId="26" fillId="7" borderId="2" xfId="27"/>
    <xf numFmtId="0" fontId="7" fillId="0" borderId="0" xfId="28"/>
    <xf numFmtId="171" fontId="29" fillId="7" borderId="4" xfId="31">
      <alignment horizontal="center"/>
    </xf>
    <xf numFmtId="41" fontId="0" fillId="8" borderId="5" xfId="32" applyFont="1"/>
    <xf numFmtId="0" fontId="30" fillId="0" borderId="0" xfId="34"/>
    <xf numFmtId="0" fontId="31" fillId="9" borderId="9" xfId="35">
      <protection locked="0"/>
    </xf>
    <xf numFmtId="173" fontId="0" fillId="0" borderId="0" xfId="2" applyFont="1"/>
    <xf numFmtId="168" fontId="0" fillId="0" borderId="0" xfId="26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0" fontId="3" fillId="0" borderId="0" xfId="15"/>
    <xf numFmtId="165" fontId="16" fillId="3" borderId="1" xfId="10" applyNumberFormat="1"/>
    <xf numFmtId="0" fontId="14" fillId="0" borderId="0" xfId="7"/>
    <xf numFmtId="0" fontId="15" fillId="0" borderId="0" xfId="9"/>
    <xf numFmtId="172" fontId="16" fillId="3" borderId="1" xfId="41"/>
    <xf numFmtId="174" fontId="0" fillId="0" borderId="0" xfId="1" applyFont="1"/>
    <xf numFmtId="175" fontId="0" fillId="0" borderId="0" xfId="3" applyNumberFormat="1" applyFont="1"/>
    <xf numFmtId="176" fontId="0" fillId="0" borderId="0" xfId="4" applyNumberFormat="1" applyFont="1"/>
    <xf numFmtId="177" fontId="23" fillId="0" borderId="0" xfId="16" applyNumberFormat="1" applyBorder="1">
      <alignment horizontal="center"/>
    </xf>
    <xf numFmtId="178" fontId="24" fillId="0" borderId="0" xfId="17" applyBorder="1">
      <alignment horizontal="center"/>
    </xf>
    <xf numFmtId="0" fontId="0" fillId="0" borderId="2" xfId="0" applyBorder="1"/>
    <xf numFmtId="0" fontId="0" fillId="13" borderId="0" xfId="0" applyFill="1"/>
    <xf numFmtId="0" fontId="0" fillId="14" borderId="0" xfId="0" applyFill="1"/>
    <xf numFmtId="0" fontId="0" fillId="3" borderId="0" xfId="0" applyFill="1"/>
    <xf numFmtId="0" fontId="3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33" fillId="12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35" fillId="20" borderId="0" xfId="0" applyFont="1" applyFill="1"/>
    <xf numFmtId="0" fontId="27" fillId="0" borderId="0" xfId="8" applyProtection="1">
      <alignment horizontal="left"/>
    </xf>
    <xf numFmtId="0" fontId="36" fillId="0" borderId="0" xfId="0" applyFont="1"/>
    <xf numFmtId="0" fontId="0" fillId="0" borderId="2" xfId="0" quotePrefix="1" applyBorder="1"/>
    <xf numFmtId="0" fontId="0" fillId="16" borderId="0" xfId="0" applyFill="1"/>
    <xf numFmtId="0" fontId="0" fillId="18" borderId="0" xfId="0" applyFill="1"/>
    <xf numFmtId="0" fontId="0" fillId="17" borderId="0" xfId="0" applyFill="1"/>
    <xf numFmtId="0" fontId="0" fillId="19" borderId="0" xfId="0" applyFill="1"/>
    <xf numFmtId="0" fontId="0" fillId="15" borderId="0" xfId="0" applyFill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0" fillId="0" borderId="0" xfId="0"/>
    <xf numFmtId="0" fontId="13" fillId="11" borderId="0" xfId="33">
      <alignment horizontal="center"/>
    </xf>
    <xf numFmtId="0" fontId="26" fillId="0" borderId="3" xfId="13" applyAlignment="1">
      <alignment horizontal="left"/>
    </xf>
    <xf numFmtId="0" fontId="25" fillId="4" borderId="4" xfId="14" applyAlignment="1">
      <alignment horizontal="left"/>
      <protection locked="0"/>
    </xf>
  </cellXfs>
  <cellStyles count="42">
    <cellStyle name="Accounts Ref" xfId="15" xr:uid="{00000000-0005-0000-0000-000000000000}"/>
    <cellStyle name="Assumption" xfId="14" xr:uid="{00000000-0005-0000-0000-000001000000}"/>
    <cellStyle name="Comma" xfId="1" builtinId="3" customBuiltin="1"/>
    <cellStyle name="Comma [0]" xfId="2" builtinId="6" customBuiltin="1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36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7030A0"/>
        </patternFill>
      </fill>
    </dxf>
    <dxf>
      <fill>
        <patternFill>
          <bgColor rgb="FFC00000"/>
        </patternFill>
      </fill>
    </dxf>
    <dxf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C00000"/>
        </patternFill>
      </fill>
    </dxf>
    <dxf>
      <fill>
        <patternFill>
          <bgColor rgb="FFFFCC66"/>
        </patternFill>
      </fill>
    </dxf>
    <dxf>
      <fill>
        <patternFill>
          <bgColor theme="6"/>
        </patternFill>
      </fill>
    </dxf>
    <dxf>
      <fill>
        <patternFill>
          <bgColor theme="3" tint="0.39994506668294322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ont>
        <color rgb="FFFFC000"/>
      </font>
    </dxf>
    <dxf>
      <font>
        <color rgb="FF00B0F0"/>
      </font>
    </dxf>
    <dxf>
      <font>
        <color theme="9"/>
      </font>
    </dxf>
    <dxf>
      <font>
        <color rgb="FFFF66FF"/>
      </font>
    </dxf>
    <dxf>
      <font>
        <color rgb="FFFFFFFF"/>
      </font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2F8ACBA9-D74F-4EE3-9FE4-F84E6A74D36F}"/>
    <tableStyle name="Table Style 1" pivot="0" count="3" xr9:uid="{00000000-0011-0000-FFFF-FFFF00000000}">
      <tableStyleElement type="headerRow" dxfId="35"/>
      <tableStyleElement type="firstRowStripe" dxfId="34"/>
      <tableStyleElement type="secondRowStripe" dxfId="33"/>
    </tableStyle>
  </tableStyles>
  <colors>
    <mruColors>
      <color rgb="FFFF6430"/>
      <color rgb="FFE52D2E"/>
      <color rgb="FFFFFAE5"/>
      <color rgb="FFC0BBBB"/>
      <color rgb="FF9A96AC"/>
      <color rgb="FFFFFFCC"/>
      <color rgb="FFFFCC66"/>
      <color rgb="FFFF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177248</xdr:colOff>
          <xdr:row>3</xdr:row>
          <xdr:rowOff>0</xdr:rowOff>
        </xdr:from>
        <xdr:to>
          <xdr:col>29</xdr:col>
          <xdr:colOff>0</xdr:colOff>
          <xdr:row>27</xdr:row>
          <xdr:rowOff>91109</xdr:rowOff>
        </xdr:to>
        <xdr:pic>
          <xdr:nvPicPr>
            <xdr:cNvPr id="1025" name="Christmas Tree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ristmas_Tree" spid="_x0000_s753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663898" y="457200"/>
              <a:ext cx="2051602" cy="4110659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126668</xdr:colOff>
          <xdr:row>26</xdr:row>
          <xdr:rowOff>28575</xdr:rowOff>
        </xdr:from>
        <xdr:to>
          <xdr:col>30</xdr:col>
          <xdr:colOff>152400</xdr:colOff>
          <xdr:row>31</xdr:row>
          <xdr:rowOff>149141</xdr:rowOff>
        </xdr:to>
        <xdr:pic>
          <xdr:nvPicPr>
            <xdr:cNvPr id="4" name="Gift 2">
              <a:extLst>
                <a:ext uri="{FF2B5EF4-FFF2-40B4-BE49-F238E27FC236}">
                  <a16:creationId xmlns:a16="http://schemas.microsoft.com/office/drawing/2014/main" id="{AC3E08CB-809A-A99F-A331-919CEF0241A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esent_Box_2" spid="_x0000_s753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851568" y="4352925"/>
              <a:ext cx="1263982" cy="98734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209551</xdr:colOff>
          <xdr:row>28</xdr:row>
          <xdr:rowOff>19550</xdr:rowOff>
        </xdr:from>
        <xdr:to>
          <xdr:col>27</xdr:col>
          <xdr:colOff>38101</xdr:colOff>
          <xdr:row>33</xdr:row>
          <xdr:rowOff>100188</xdr:rowOff>
        </xdr:to>
        <xdr:pic>
          <xdr:nvPicPr>
            <xdr:cNvPr id="5" name="Gift 1">
              <a:extLst>
                <a:ext uri="{FF2B5EF4-FFF2-40B4-BE49-F238E27FC236}">
                  <a16:creationId xmlns:a16="http://schemas.microsoft.com/office/drawing/2014/main" id="{17354AEC-13A1-4753-AE19-FFE4FC373E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esent_Box_1" spid="_x0000_s753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191501" y="4753475"/>
              <a:ext cx="1066800" cy="842638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564172</xdr:colOff>
          <xdr:row>23</xdr:row>
          <xdr:rowOff>7033</xdr:rowOff>
        </xdr:from>
        <xdr:to>
          <xdr:col>3</xdr:col>
          <xdr:colOff>135343</xdr:colOff>
          <xdr:row>26</xdr:row>
          <xdr:rowOff>5567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5ABC99F1-B963-435A-BB7C-C92C0F66B44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3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73772" y="3874183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27724</xdr:colOff>
          <xdr:row>23</xdr:row>
          <xdr:rowOff>5568</xdr:rowOff>
        </xdr:from>
        <xdr:to>
          <xdr:col>4</xdr:col>
          <xdr:colOff>456145</xdr:colOff>
          <xdr:row>26</xdr:row>
          <xdr:rowOff>5567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B98B18DA-A65C-41ED-994E-DC6236020F0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3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742224" y="3872718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596176</xdr:colOff>
          <xdr:row>23</xdr:row>
          <xdr:rowOff>7033</xdr:rowOff>
        </xdr:from>
        <xdr:to>
          <xdr:col>5</xdr:col>
          <xdr:colOff>414997</xdr:colOff>
          <xdr:row>26</xdr:row>
          <xdr:rowOff>5567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1E7F8FE-7BC9-4C66-B246-78CF6D810E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3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310676" y="3874183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555028</xdr:colOff>
          <xdr:row>23</xdr:row>
          <xdr:rowOff>5568</xdr:rowOff>
        </xdr:from>
        <xdr:to>
          <xdr:col>6</xdr:col>
          <xdr:colOff>373849</xdr:colOff>
          <xdr:row>26</xdr:row>
          <xdr:rowOff>5567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497CC6C8-BC00-435D-9EDE-2936D364E4F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4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879128" y="3872718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513880</xdr:colOff>
          <xdr:row>23</xdr:row>
          <xdr:rowOff>7033</xdr:rowOff>
        </xdr:from>
        <xdr:to>
          <xdr:col>7</xdr:col>
          <xdr:colOff>332701</xdr:colOff>
          <xdr:row>26</xdr:row>
          <xdr:rowOff>5567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27119433-B464-45D3-A3C6-9C179D71EC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4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3447580" y="3874183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472734</xdr:colOff>
          <xdr:row>23</xdr:row>
          <xdr:rowOff>5568</xdr:rowOff>
        </xdr:from>
        <xdr:to>
          <xdr:col>8</xdr:col>
          <xdr:colOff>291555</xdr:colOff>
          <xdr:row>26</xdr:row>
          <xdr:rowOff>5567</xdr:rowOff>
        </xdr:to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9C01579C-B393-4CAE-8B88-122CA11C5D1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4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4016034" y="3872718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1465</xdr:rowOff>
        </xdr:from>
        <xdr:to>
          <xdr:col>10</xdr:col>
          <xdr:colOff>180771</xdr:colOff>
          <xdr:row>5</xdr:row>
          <xdr:rowOff>47624</xdr:rowOff>
        </xdr:to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695945DC-5912-438C-B68F-4562147AA1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4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4762500" y="458665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73152</xdr:colOff>
          <xdr:row>3</xdr:row>
          <xdr:rowOff>0</xdr:rowOff>
        </xdr:from>
        <xdr:to>
          <xdr:col>13</xdr:col>
          <xdr:colOff>6273</xdr:colOff>
          <xdr:row>5</xdr:row>
          <xdr:rowOff>47624</xdr:rowOff>
        </xdr:to>
        <xdr:pic>
          <xdr:nvPicPr>
            <xdr:cNvPr id="32" name="Picture 31">
              <a:extLst>
                <a:ext uri="{FF2B5EF4-FFF2-40B4-BE49-F238E27FC236}">
                  <a16:creationId xmlns:a16="http://schemas.microsoft.com/office/drawing/2014/main" id="{438A049C-514A-4E58-891F-773D6411BF0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4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5330952" y="457200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146304</xdr:colOff>
          <xdr:row>3</xdr:row>
          <xdr:rowOff>1465</xdr:rowOff>
        </xdr:from>
        <xdr:to>
          <xdr:col>15</xdr:col>
          <xdr:colOff>79425</xdr:colOff>
          <xdr:row>5</xdr:row>
          <xdr:rowOff>47624</xdr:rowOff>
        </xdr:to>
        <xdr:pic>
          <xdr:nvPicPr>
            <xdr:cNvPr id="33" name="Picture 32">
              <a:extLst>
                <a:ext uri="{FF2B5EF4-FFF2-40B4-BE49-F238E27FC236}">
                  <a16:creationId xmlns:a16="http://schemas.microsoft.com/office/drawing/2014/main" id="{332ECF13-704A-4559-8156-D2488A7D657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4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899404" y="458665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219456</xdr:colOff>
          <xdr:row>3</xdr:row>
          <xdr:rowOff>0</xdr:rowOff>
        </xdr:from>
        <xdr:to>
          <xdr:col>17</xdr:col>
          <xdr:colOff>152577</xdr:colOff>
          <xdr:row>5</xdr:row>
          <xdr:rowOff>47624</xdr:rowOff>
        </xdr:to>
        <xdr:pic>
          <xdr:nvPicPr>
            <xdr:cNvPr id="34" name="Picture 33">
              <a:extLst>
                <a:ext uri="{FF2B5EF4-FFF2-40B4-BE49-F238E27FC236}">
                  <a16:creationId xmlns:a16="http://schemas.microsoft.com/office/drawing/2014/main" id="{97E6EA8C-89B2-422F-A8A0-CB3E6489C06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4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6467856" y="457200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44958</xdr:colOff>
          <xdr:row>3</xdr:row>
          <xdr:rowOff>1465</xdr:rowOff>
        </xdr:from>
        <xdr:to>
          <xdr:col>19</xdr:col>
          <xdr:colOff>225729</xdr:colOff>
          <xdr:row>5</xdr:row>
          <xdr:rowOff>47624</xdr:rowOff>
        </xdr:to>
        <xdr:pic>
          <xdr:nvPicPr>
            <xdr:cNvPr id="35" name="Picture 34">
              <a:extLst>
                <a:ext uri="{FF2B5EF4-FFF2-40B4-BE49-F238E27FC236}">
                  <a16:creationId xmlns:a16="http://schemas.microsoft.com/office/drawing/2014/main" id="{27279D09-9850-434C-85A2-EB807A89F03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4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7036308" y="458665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118112</xdr:colOff>
          <xdr:row>3</xdr:row>
          <xdr:rowOff>0</xdr:rowOff>
        </xdr:from>
        <xdr:to>
          <xdr:col>22</xdr:col>
          <xdr:colOff>51233</xdr:colOff>
          <xdr:row>5</xdr:row>
          <xdr:rowOff>47624</xdr:rowOff>
        </xdr:to>
        <xdr:pic>
          <xdr:nvPicPr>
            <xdr:cNvPr id="36" name="Picture 35">
              <a:extLst>
                <a:ext uri="{FF2B5EF4-FFF2-40B4-BE49-F238E27FC236}">
                  <a16:creationId xmlns:a16="http://schemas.microsoft.com/office/drawing/2014/main" id="{A65A31BF-2D94-42DE-A22B-76D0CCFB6B8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4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604762" y="457200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219075</xdr:colOff>
          <xdr:row>2</xdr:row>
          <xdr:rowOff>144340</xdr:rowOff>
        </xdr:from>
        <xdr:to>
          <xdr:col>29</xdr:col>
          <xdr:colOff>152196</xdr:colOff>
          <xdr:row>5</xdr:row>
          <xdr:rowOff>38099</xdr:rowOff>
        </xdr:to>
        <xdr:pic>
          <xdr:nvPicPr>
            <xdr:cNvPr id="37" name="Picture 36">
              <a:extLst>
                <a:ext uri="{FF2B5EF4-FFF2-40B4-BE49-F238E27FC236}">
                  <a16:creationId xmlns:a16="http://schemas.microsoft.com/office/drawing/2014/main" id="{5C298B2F-4F00-4AE6-8EAB-E35245A5200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4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9439275" y="449140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44577</xdr:colOff>
          <xdr:row>2</xdr:row>
          <xdr:rowOff>142875</xdr:rowOff>
        </xdr:from>
        <xdr:to>
          <xdr:col>31</xdr:col>
          <xdr:colOff>225348</xdr:colOff>
          <xdr:row>5</xdr:row>
          <xdr:rowOff>38099</xdr:rowOff>
        </xdr:to>
        <xdr:pic>
          <xdr:nvPicPr>
            <xdr:cNvPr id="38" name="Picture 37">
              <a:extLst>
                <a:ext uri="{FF2B5EF4-FFF2-40B4-BE49-F238E27FC236}">
                  <a16:creationId xmlns:a16="http://schemas.microsoft.com/office/drawing/2014/main" id="{E198862B-7B05-4355-875A-EC55947FEF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5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0007727" y="447675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117729</xdr:colOff>
          <xdr:row>2</xdr:row>
          <xdr:rowOff>144340</xdr:rowOff>
        </xdr:from>
        <xdr:to>
          <xdr:col>34</xdr:col>
          <xdr:colOff>50850</xdr:colOff>
          <xdr:row>5</xdr:row>
          <xdr:rowOff>38099</xdr:rowOff>
        </xdr:to>
        <xdr:pic>
          <xdr:nvPicPr>
            <xdr:cNvPr id="39" name="Picture 38">
              <a:extLst>
                <a:ext uri="{FF2B5EF4-FFF2-40B4-BE49-F238E27FC236}">
                  <a16:creationId xmlns:a16="http://schemas.microsoft.com/office/drawing/2014/main" id="{79F9022F-C5EC-4D90-88E5-675231A4AD7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5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0576179" y="449140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190881</xdr:colOff>
          <xdr:row>2</xdr:row>
          <xdr:rowOff>142875</xdr:rowOff>
        </xdr:from>
        <xdr:to>
          <xdr:col>36</xdr:col>
          <xdr:colOff>124002</xdr:colOff>
          <xdr:row>5</xdr:row>
          <xdr:rowOff>38099</xdr:rowOff>
        </xdr:to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9D91A107-59A9-4570-81C1-C11A01E706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5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1144631" y="447675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16383</xdr:colOff>
          <xdr:row>2</xdr:row>
          <xdr:rowOff>144340</xdr:rowOff>
        </xdr:from>
        <xdr:to>
          <xdr:col>38</xdr:col>
          <xdr:colOff>197154</xdr:colOff>
          <xdr:row>5</xdr:row>
          <xdr:rowOff>38099</xdr:rowOff>
        </xdr:to>
        <xdr:pic>
          <xdr:nvPicPr>
            <xdr:cNvPr id="41" name="Picture 40">
              <a:extLst>
                <a:ext uri="{FF2B5EF4-FFF2-40B4-BE49-F238E27FC236}">
                  <a16:creationId xmlns:a16="http://schemas.microsoft.com/office/drawing/2014/main" id="{06465E90-ED95-4677-B3F6-121AE63AFB3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1" spid="_x0000_s755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713083" y="449140"/>
              <a:ext cx="428421" cy="45573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89537</xdr:colOff>
          <xdr:row>2</xdr:row>
          <xdr:rowOff>142875</xdr:rowOff>
        </xdr:from>
        <xdr:to>
          <xdr:col>41</xdr:col>
          <xdr:colOff>22658</xdr:colOff>
          <xdr:row>5</xdr:row>
          <xdr:rowOff>38099</xdr:rowOff>
        </xdr:to>
        <xdr:pic>
          <xdr:nvPicPr>
            <xdr:cNvPr id="42" name="Picture 41">
              <a:extLst>
                <a:ext uri="{FF2B5EF4-FFF2-40B4-BE49-F238E27FC236}">
                  <a16:creationId xmlns:a16="http://schemas.microsoft.com/office/drawing/2014/main" id="{31099D70-9A0C-48DD-8679-1E4FE0BF428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ndy_Cane_2" spid="_x0000_s755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2281537" y="447675"/>
              <a:ext cx="428421" cy="457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ver"/>
  <dimension ref="A1:AO28"/>
  <sheetViews>
    <sheetView showGridLines="0" tabSelected="1" zoomScale="115" zoomScaleNormal="115" workbookViewId="0"/>
  </sheetViews>
  <sheetFormatPr defaultRowHeight="12" x14ac:dyDescent="0.2"/>
  <cols>
    <col min="3" max="4" width="3.7109375" customWidth="1"/>
    <col min="10" max="41" width="3.7109375" customWidth="1"/>
  </cols>
  <sheetData>
    <row r="1" spans="1:41" x14ac:dyDescent="0.2">
      <c r="A1" s="11"/>
    </row>
    <row r="2" spans="1:41" x14ac:dyDescent="0.2">
      <c r="J2" s="57" t="str" cm="1">
        <f t="array" ref="J2:AO2">_xlfn.ANCHORARRAY('Christmas Trees'!$L$71)</f>
        <v>r</v>
      </c>
      <c r="K2" s="57" t="str">
        <v>r</v>
      </c>
      <c r="L2" s="57" t="str">
        <v>y</v>
      </c>
      <c r="M2" s="57" t="str">
        <v xml:space="preserve"> </v>
      </c>
      <c r="N2" s="57" t="str">
        <v>C</v>
      </c>
      <c r="O2" s="57" t="str">
        <v>h</v>
      </c>
      <c r="P2" s="57" t="str">
        <v>r</v>
      </c>
      <c r="Q2" s="57" t="str">
        <v>i</v>
      </c>
      <c r="R2" s="57" t="str">
        <v>s</v>
      </c>
      <c r="S2" s="57" t="str">
        <v>t</v>
      </c>
      <c r="T2" s="57" t="str">
        <v>m</v>
      </c>
      <c r="U2" s="57" t="str">
        <v>a</v>
      </c>
      <c r="V2" s="57" t="str">
        <v>s</v>
      </c>
      <c r="W2" s="57" t="str">
        <v xml:space="preserve"> </v>
      </c>
      <c r="X2" s="57" t="str">
        <v>&amp;</v>
      </c>
      <c r="Y2" s="57" t="str">
        <v xml:space="preserve"> </v>
      </c>
      <c r="Z2" s="57" t="str">
        <v>H</v>
      </c>
      <c r="AA2" s="57" t="str">
        <v>a</v>
      </c>
      <c r="AB2" s="57" t="str">
        <v>p</v>
      </c>
      <c r="AC2" s="57" t="str">
        <v>p</v>
      </c>
      <c r="AD2" s="57" t="str">
        <v>y</v>
      </c>
      <c r="AE2" s="57" t="str">
        <v xml:space="preserve"> </v>
      </c>
      <c r="AF2" s="57" t="str">
        <v>N</v>
      </c>
      <c r="AG2" s="57" t="str">
        <v>e</v>
      </c>
      <c r="AH2" s="57" t="str">
        <v>w</v>
      </c>
      <c r="AI2" s="57" t="str">
        <v xml:space="preserve"> </v>
      </c>
      <c r="AJ2" s="57" t="str">
        <v>Y</v>
      </c>
      <c r="AK2" s="57" t="str">
        <v>e</v>
      </c>
      <c r="AL2" s="57" t="str">
        <v>a</v>
      </c>
      <c r="AM2" s="57" t="str">
        <v>r</v>
      </c>
      <c r="AN2" s="57" t="str">
        <v>!</v>
      </c>
      <c r="AO2" s="57" t="str">
        <v xml:space="preserve"> </v>
      </c>
    </row>
    <row r="3" spans="1:41" x14ac:dyDescent="0.2">
      <c r="A3" s="11" t="s">
        <v>1</v>
      </c>
    </row>
    <row r="5" spans="1:41" ht="20.25" x14ac:dyDescent="0.3">
      <c r="C5" s="40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41" ht="18" x14ac:dyDescent="0.25">
      <c r="C6" s="41" t="str">
        <f ca="1">Model_Name</f>
        <v>SP-ChristmasTree.xlsm</v>
      </c>
      <c r="D6" s="7"/>
      <c r="E6" s="7"/>
      <c r="F6" s="7"/>
      <c r="G6" s="7"/>
      <c r="H6" s="7"/>
      <c r="I6" s="7"/>
      <c r="J6" s="7"/>
    </row>
    <row r="7" spans="1:41" ht="12.75" x14ac:dyDescent="0.2">
      <c r="C7" s="7"/>
      <c r="D7" s="7"/>
      <c r="E7" s="7"/>
      <c r="F7" s="7"/>
      <c r="G7" s="7"/>
      <c r="H7" s="7"/>
      <c r="I7" s="7"/>
      <c r="J7" s="7"/>
    </row>
    <row r="8" spans="1:41" ht="12.75" x14ac:dyDescent="0.2">
      <c r="C8" s="7"/>
      <c r="D8" s="7"/>
      <c r="E8" s="7"/>
      <c r="F8" s="7"/>
      <c r="G8" s="7"/>
      <c r="H8" s="7"/>
      <c r="I8" s="7"/>
      <c r="J8" s="7"/>
    </row>
    <row r="9" spans="1:41" ht="12.75" x14ac:dyDescent="0.2">
      <c r="C9" s="7"/>
      <c r="D9" s="7"/>
      <c r="E9" s="7"/>
      <c r="F9" s="7"/>
      <c r="G9" s="7"/>
      <c r="H9" s="7"/>
      <c r="I9" s="7"/>
      <c r="J9" s="7"/>
    </row>
    <row r="10" spans="1:41" ht="12.75" x14ac:dyDescent="0.2">
      <c r="C10" s="7"/>
      <c r="D10" s="7"/>
      <c r="E10" s="7"/>
      <c r="F10" s="7"/>
      <c r="G10" s="7"/>
      <c r="H10" s="7"/>
      <c r="I10" s="7"/>
      <c r="J10" s="7"/>
    </row>
    <row r="11" spans="1:41" ht="15" x14ac:dyDescent="0.25">
      <c r="C11" s="7"/>
      <c r="D11" s="7"/>
      <c r="E11" s="7"/>
      <c r="F11" s="7"/>
      <c r="G11" s="7"/>
      <c r="H11" s="7"/>
      <c r="I11" s="7"/>
      <c r="J11" s="7"/>
      <c r="S11" s="38"/>
    </row>
    <row r="12" spans="1:41" ht="12.75" x14ac:dyDescent="0.2">
      <c r="C12" s="7"/>
      <c r="D12" s="7"/>
      <c r="E12" s="7"/>
      <c r="F12" s="7"/>
      <c r="G12" s="7"/>
      <c r="H12" s="7"/>
      <c r="I12" s="7"/>
      <c r="J12" s="7"/>
    </row>
    <row r="13" spans="1:41" ht="12.75" x14ac:dyDescent="0.2">
      <c r="C13" s="7"/>
      <c r="D13" s="7"/>
      <c r="E13" s="7"/>
      <c r="F13" s="7"/>
      <c r="G13" s="7"/>
      <c r="H13" s="7"/>
      <c r="I13" s="7"/>
      <c r="J13" s="7"/>
    </row>
    <row r="14" spans="1:41" ht="12.75" x14ac:dyDescent="0.2">
      <c r="C14" s="8" t="s">
        <v>108</v>
      </c>
      <c r="D14" s="9"/>
      <c r="E14" s="7"/>
      <c r="F14" s="7"/>
      <c r="G14" s="7"/>
      <c r="H14" s="7"/>
      <c r="I14" s="7"/>
      <c r="J14" s="7"/>
    </row>
    <row r="15" spans="1:41" ht="12.75" x14ac:dyDescent="0.2">
      <c r="C15" s="9"/>
      <c r="D15" s="9"/>
      <c r="E15" s="7"/>
      <c r="F15" s="7"/>
      <c r="G15" s="7"/>
      <c r="H15" s="7"/>
      <c r="I15" s="7"/>
      <c r="J15" s="7"/>
    </row>
    <row r="16" spans="1:41" ht="12.75" x14ac:dyDescent="0.2">
      <c r="C16" s="8" t="s">
        <v>19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66" t="s">
        <v>110</v>
      </c>
      <c r="D17" s="66"/>
      <c r="E17" s="66"/>
      <c r="F17" s="66"/>
      <c r="G17" s="66"/>
      <c r="H17" s="66"/>
      <c r="I17" s="66"/>
      <c r="J17" s="66"/>
    </row>
    <row r="18" spans="3:10" ht="12.75" x14ac:dyDescent="0.2">
      <c r="C18" s="66"/>
      <c r="D18" s="66"/>
      <c r="E18" s="66"/>
      <c r="F18" s="66"/>
      <c r="G18" s="66"/>
      <c r="H18" s="66"/>
      <c r="I18" s="66"/>
      <c r="J18" s="66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20</v>
      </c>
      <c r="D21" s="9"/>
      <c r="E21" s="7"/>
      <c r="F21" s="7"/>
      <c r="G21" s="67" t="s">
        <v>109</v>
      </c>
      <c r="H21" s="67"/>
      <c r="I21" s="67"/>
      <c r="J21" s="7"/>
    </row>
    <row r="22" spans="3:10" ht="12.75" x14ac:dyDescent="0.2">
      <c r="C22" s="10" t="s">
        <v>21</v>
      </c>
      <c r="D22" s="9"/>
      <c r="E22" s="7"/>
      <c r="F22" s="7"/>
      <c r="G22" s="67" t="s">
        <v>22</v>
      </c>
      <c r="H22" s="67"/>
      <c r="I22" s="67"/>
      <c r="J22" s="7"/>
    </row>
    <row r="28" spans="3:10" ht="20.25" x14ac:dyDescent="0.3">
      <c r="C28" s="59" t="s">
        <v>112</v>
      </c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3"/>
  <sheetViews>
    <sheetView showGridLines="0" zoomScaleNormal="100" workbookViewId="0">
      <pane ySplit="4" topLeftCell="A5" activePane="bottomLeft" state="frozen"/>
      <selection activeCell="I28" sqref="I28"/>
      <selection pane="bottomLeft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40" t="s">
        <v>1</v>
      </c>
      <c r="F1" s="12"/>
      <c r="G1" s="12"/>
    </row>
    <row r="2" spans="1:12" ht="18" x14ac:dyDescent="0.25">
      <c r="A2" s="41" t="str">
        <f ca="1">Model_Name</f>
        <v>SP-ChristmasTree.xlsm</v>
      </c>
    </row>
    <row r="3" spans="1:12" x14ac:dyDescent="0.2">
      <c r="A3" s="11" t="s">
        <v>1</v>
      </c>
      <c r="B3" s="11"/>
      <c r="C3" s="11"/>
      <c r="D3" s="11"/>
      <c r="E3" s="11"/>
    </row>
    <row r="4" spans="1:12" ht="14.25" x14ac:dyDescent="0.2">
      <c r="E4" t="s">
        <v>2</v>
      </c>
      <c r="G4" s="24">
        <f>Overall_Error_Check</f>
        <v>0</v>
      </c>
    </row>
    <row r="7" spans="1:12" ht="16.5" thickBot="1" x14ac:dyDescent="0.3">
      <c r="B7" s="42">
        <v>1</v>
      </c>
      <c r="C7" s="42" t="s">
        <v>23</v>
      </c>
      <c r="D7" s="42"/>
      <c r="E7" s="42"/>
      <c r="F7" s="42"/>
      <c r="G7" s="42"/>
      <c r="H7" s="42"/>
      <c r="I7" s="42"/>
      <c r="J7" s="42"/>
      <c r="K7" s="42"/>
      <c r="L7" s="42"/>
    </row>
    <row r="8" spans="1:12" ht="12.75" thickTop="1" x14ac:dyDescent="0.2"/>
    <row r="9" spans="1:12" x14ac:dyDescent="0.2">
      <c r="F9" s="11" t="s">
        <v>24</v>
      </c>
    </row>
    <row r="10" spans="1:12" x14ac:dyDescent="0.2">
      <c r="F10" s="11" t="s">
        <v>25</v>
      </c>
    </row>
    <row r="11" spans="1:12" x14ac:dyDescent="0.2">
      <c r="F11" s="11" t="s">
        <v>0</v>
      </c>
    </row>
    <row r="12" spans="1:12" x14ac:dyDescent="0.2">
      <c r="F12" s="58" t="str">
        <f ca="1">'Christmas Trees'!A1</f>
        <v>Christmas Trees</v>
      </c>
    </row>
    <row r="13" spans="1:12" x14ac:dyDescent="0.2">
      <c r="F13" s="11" t="s">
        <v>64</v>
      </c>
    </row>
  </sheetData>
  <conditionalFormatting sqref="G4">
    <cfRule type="cellIs" dxfId="32" priority="1" operator="equal">
      <formula>1</formula>
    </cfRule>
  </conditionalFormatting>
  <hyperlinks>
    <hyperlink ref="A3:E3" location="HL_Navigator" tooltip="Go to Navigator (Table of Contents)" display="Navigator" xr:uid="{00000000-0004-0000-0100-000000000000}"/>
    <hyperlink ref="F9" location="HL_1" display="Cover" xr:uid="{36750595-1624-45C2-9375-72A3BEC50480}"/>
    <hyperlink ref="F10" location="HL_3" display="Style Guide" xr:uid="{E5E0F61C-42CB-4688-8CD3-D8C2CA6D485A}"/>
    <hyperlink ref="F11" location="HL_4" display="Model Parameters" xr:uid="{58C8B6AB-8D89-49D7-B174-053A938E1994}"/>
    <hyperlink ref="F13" location="HL_7" display="Error Checks" xr:uid="{BB5AE404-ADE3-4D6F-BFDA-85058BBD35C5}"/>
    <hyperlink ref="F12" location="HL_6" display="HL_6" xr:uid="{99B9F56C-973A-4C80-9FA3-540D246A52CE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O81"/>
  <sheetViews>
    <sheetView showGridLines="0" zoomScaleNormal="100" workbookViewId="0">
      <pane ySplit="4" topLeftCell="A5" activePane="bottomLeft" state="frozen"/>
      <selection activeCell="I28" sqref="I28"/>
      <selection pane="bottomLeft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1" t="str">
        <f ca="1">Model_Name</f>
        <v>SP-ChristmasTree.xlsm</v>
      </c>
    </row>
    <row r="3" spans="1:13" x14ac:dyDescent="0.2">
      <c r="A3" s="67" t="s">
        <v>1</v>
      </c>
      <c r="B3" s="67"/>
      <c r="C3" s="67"/>
      <c r="D3" s="67"/>
      <c r="E3" s="67"/>
    </row>
    <row r="4" spans="1:13" ht="14.25" x14ac:dyDescent="0.2">
      <c r="E4" t="s">
        <v>2</v>
      </c>
      <c r="I4" s="1">
        <f>Overall_Error_Check</f>
        <v>0</v>
      </c>
    </row>
    <row r="5" spans="1:13" x14ac:dyDescent="0.2">
      <c r="A5" s="11"/>
    </row>
    <row r="6" spans="1:13" ht="16.5" thickBot="1" x14ac:dyDescent="0.3">
      <c r="B6" s="42">
        <f>MAX($B$5:$B5)+1</f>
        <v>1</v>
      </c>
      <c r="C6" s="2" t="s">
        <v>26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69" t="s">
        <v>27</v>
      </c>
      <c r="D8" s="69"/>
      <c r="E8" s="69"/>
      <c r="F8" s="69"/>
      <c r="G8" s="69"/>
      <c r="H8" s="13"/>
      <c r="I8" s="13" t="s">
        <v>28</v>
      </c>
      <c r="J8" s="13"/>
      <c r="K8" s="13" t="s">
        <v>29</v>
      </c>
    </row>
    <row r="9" spans="1:13" outlineLevel="1" x14ac:dyDescent="0.2">
      <c r="C9" s="68"/>
      <c r="D9" s="68"/>
      <c r="E9" s="68"/>
      <c r="F9" s="68"/>
      <c r="G9" s="68"/>
      <c r="K9" s="17"/>
    </row>
    <row r="10" spans="1:13" ht="20.25" outlineLevel="1" x14ac:dyDescent="0.3">
      <c r="C10" s="68" t="s">
        <v>30</v>
      </c>
      <c r="D10" s="68"/>
      <c r="E10" s="68"/>
      <c r="F10" s="68"/>
      <c r="G10" s="68"/>
      <c r="I10" s="14" t="str">
        <f>C10</f>
        <v>Sheet Title</v>
      </c>
      <c r="K10" s="15" t="s">
        <v>30</v>
      </c>
    </row>
    <row r="11" spans="1:13" ht="18" outlineLevel="1" x14ac:dyDescent="0.25">
      <c r="C11" s="68" t="s">
        <v>5</v>
      </c>
      <c r="D11" s="68"/>
      <c r="E11" s="68"/>
      <c r="F11" s="68"/>
      <c r="G11" s="68"/>
      <c r="I11" s="16" t="str">
        <f>C11</f>
        <v>Model Name</v>
      </c>
      <c r="K11" s="15" t="s">
        <v>5</v>
      </c>
    </row>
    <row r="12" spans="1:13" outlineLevel="1" x14ac:dyDescent="0.2">
      <c r="C12" s="68"/>
      <c r="D12" s="68"/>
      <c r="E12" s="68"/>
      <c r="F12" s="68"/>
      <c r="G12" s="68"/>
      <c r="K12" s="17"/>
    </row>
    <row r="13" spans="1:13" ht="16.5" outlineLevel="1" thickBot="1" x14ac:dyDescent="0.3">
      <c r="C13" s="68" t="s">
        <v>31</v>
      </c>
      <c r="D13" s="68"/>
      <c r="E13" s="68"/>
      <c r="F13" s="68"/>
      <c r="G13" s="68"/>
      <c r="I13" s="39" t="str">
        <f>C13</f>
        <v>Header 1</v>
      </c>
      <c r="K13" s="15" t="s">
        <v>31</v>
      </c>
    </row>
    <row r="14" spans="1:13" ht="17.25" outlineLevel="1" thickTop="1" x14ac:dyDescent="0.25">
      <c r="C14" s="68" t="s">
        <v>32</v>
      </c>
      <c r="D14" s="68"/>
      <c r="E14" s="68"/>
      <c r="F14" s="68"/>
      <c r="G14" s="68"/>
      <c r="I14" s="3" t="str">
        <f>C14</f>
        <v>Header 2</v>
      </c>
      <c r="K14" s="15" t="s">
        <v>32</v>
      </c>
    </row>
    <row r="15" spans="1:13" ht="15" outlineLevel="1" x14ac:dyDescent="0.25">
      <c r="C15" s="68" t="s">
        <v>33</v>
      </c>
      <c r="D15" s="68"/>
      <c r="E15" s="68"/>
      <c r="F15" s="68"/>
      <c r="G15" s="68"/>
      <c r="I15" s="4" t="str">
        <f>C15</f>
        <v>Header 3</v>
      </c>
      <c r="K15" s="15" t="s">
        <v>33</v>
      </c>
    </row>
    <row r="16" spans="1:13" ht="15" outlineLevel="1" x14ac:dyDescent="0.25">
      <c r="C16" s="68" t="s">
        <v>34</v>
      </c>
      <c r="D16" s="68"/>
      <c r="E16" s="68"/>
      <c r="F16" s="68"/>
      <c r="G16" s="68"/>
      <c r="I16" s="18" t="str">
        <f>C16</f>
        <v>Header 4</v>
      </c>
      <c r="K16" s="15" t="s">
        <v>34</v>
      </c>
    </row>
    <row r="17" spans="2:14" outlineLevel="1" x14ac:dyDescent="0.2">
      <c r="C17" s="68"/>
      <c r="D17" s="68"/>
      <c r="E17" s="68"/>
      <c r="F17" s="68"/>
      <c r="G17" s="68"/>
      <c r="K17" s="17"/>
    </row>
    <row r="18" spans="2:14" ht="15" outlineLevel="1" x14ac:dyDescent="0.25">
      <c r="C18" s="68" t="s">
        <v>35</v>
      </c>
      <c r="D18" s="68"/>
      <c r="E18" s="68"/>
      <c r="F18" s="68"/>
      <c r="G18" s="68"/>
      <c r="I18" s="19" t="str">
        <f>C18</f>
        <v>Notes</v>
      </c>
      <c r="K18" s="15" t="s">
        <v>35</v>
      </c>
    </row>
    <row r="19" spans="2:14" outlineLevel="1" x14ac:dyDescent="0.2">
      <c r="C19" s="68"/>
      <c r="D19" s="68"/>
      <c r="E19" s="68"/>
      <c r="F19" s="68"/>
      <c r="G19" s="68"/>
      <c r="K19" s="17"/>
      <c r="N19" s="19"/>
    </row>
    <row r="20" spans="2:14" ht="15" outlineLevel="1" x14ac:dyDescent="0.25">
      <c r="C20" s="68" t="s">
        <v>36</v>
      </c>
      <c r="D20" s="68"/>
      <c r="E20" s="68"/>
      <c r="F20" s="68"/>
      <c r="G20" s="68"/>
      <c r="I20" s="13" t="str">
        <f>C20</f>
        <v>Table Heading</v>
      </c>
      <c r="K20" s="15" t="s">
        <v>36</v>
      </c>
    </row>
    <row r="21" spans="2:14" outlineLevel="1" x14ac:dyDescent="0.2"/>
    <row r="22" spans="2:14" outlineLevel="1" x14ac:dyDescent="0.2"/>
    <row r="23" spans="2:14" ht="16.5" thickBot="1" x14ac:dyDescent="0.3">
      <c r="B23" s="42">
        <f>MAX($B$5:$B22)+1</f>
        <v>2</v>
      </c>
      <c r="C23" s="2" t="s">
        <v>37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69" t="s">
        <v>27</v>
      </c>
      <c r="D25" s="69"/>
      <c r="E25" s="69"/>
      <c r="F25" s="69"/>
      <c r="G25" s="69"/>
      <c r="H25" s="13"/>
      <c r="I25" s="13" t="s">
        <v>28</v>
      </c>
      <c r="J25" s="13"/>
      <c r="K25" s="13" t="s">
        <v>29</v>
      </c>
    </row>
    <row r="26" spans="2:14" ht="15" outlineLevel="1" x14ac:dyDescent="0.25">
      <c r="C26" s="68"/>
      <c r="D26" s="68"/>
      <c r="E26" s="68"/>
      <c r="F26" s="68"/>
      <c r="G26" s="68"/>
      <c r="K26" s="15"/>
    </row>
    <row r="27" spans="2:14" ht="15" outlineLevel="1" x14ac:dyDescent="0.25">
      <c r="C27" s="68" t="s">
        <v>38</v>
      </c>
      <c r="D27" s="68"/>
      <c r="E27" s="68"/>
      <c r="F27" s="68"/>
      <c r="G27" s="68"/>
      <c r="I27" s="20" t="s">
        <v>38</v>
      </c>
      <c r="K27" s="21" t="str">
        <f>C27</f>
        <v>Assumption</v>
      </c>
    </row>
    <row r="28" spans="2:14" ht="15" outlineLevel="1" x14ac:dyDescent="0.25">
      <c r="C28" s="68"/>
      <c r="D28" s="68"/>
      <c r="E28" s="68"/>
      <c r="F28" s="68"/>
      <c r="G28" s="68"/>
      <c r="K28" s="21"/>
    </row>
    <row r="29" spans="2:14" ht="15" outlineLevel="1" x14ac:dyDescent="0.25">
      <c r="C29" s="68" t="s">
        <v>39</v>
      </c>
      <c r="D29" s="68"/>
      <c r="E29" s="68"/>
      <c r="F29" s="68"/>
      <c r="G29" s="68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68"/>
      <c r="D30" s="68"/>
      <c r="E30" s="68"/>
      <c r="F30" s="68"/>
      <c r="G30" s="68"/>
      <c r="K30" s="21"/>
    </row>
    <row r="31" spans="2:14" ht="15" outlineLevel="1" x14ac:dyDescent="0.25">
      <c r="C31" s="68" t="s">
        <v>40</v>
      </c>
      <c r="D31" s="68"/>
      <c r="E31" s="68"/>
      <c r="F31" s="68"/>
      <c r="G31" s="68"/>
      <c r="I31" s="23"/>
      <c r="K31" s="21" t="str">
        <f>C31</f>
        <v>Empty</v>
      </c>
    </row>
    <row r="32" spans="2:14" ht="15" outlineLevel="1" x14ac:dyDescent="0.25">
      <c r="C32" s="68"/>
      <c r="D32" s="68"/>
      <c r="E32" s="68"/>
      <c r="F32" s="68"/>
      <c r="G32" s="68"/>
      <c r="K32" s="21"/>
    </row>
    <row r="33" spans="3:11" ht="15" outlineLevel="1" x14ac:dyDescent="0.25">
      <c r="C33" t="s">
        <v>41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68" t="s">
        <v>42</v>
      </c>
      <c r="D35" s="68"/>
      <c r="E35" s="68"/>
      <c r="F35" s="68"/>
      <c r="G35" s="68"/>
      <c r="I35" s="11" t="s">
        <v>42</v>
      </c>
      <c r="K35" s="21" t="str">
        <f>C35</f>
        <v>Hyperlink</v>
      </c>
    </row>
    <row r="36" spans="3:11" ht="15" outlineLevel="1" x14ac:dyDescent="0.25">
      <c r="C36" s="68"/>
      <c r="D36" s="68"/>
      <c r="E36" s="68"/>
      <c r="F36" s="68"/>
      <c r="G36" s="68"/>
      <c r="K36" s="21"/>
    </row>
    <row r="37" spans="3:11" ht="15" outlineLevel="1" x14ac:dyDescent="0.25">
      <c r="C37" s="68" t="s">
        <v>43</v>
      </c>
      <c r="D37" s="68"/>
      <c r="E37" s="68"/>
      <c r="F37" s="68"/>
      <c r="G37" s="68"/>
      <c r="I37" s="25" t="str">
        <f>'Error Checks'!E12</f>
        <v>Example</v>
      </c>
      <c r="K37" s="21" t="str">
        <f>C37</f>
        <v>Internal Reference</v>
      </c>
    </row>
    <row r="38" spans="3:11" ht="15" outlineLevel="1" x14ac:dyDescent="0.25">
      <c r="C38" s="68"/>
      <c r="D38" s="68"/>
      <c r="E38" s="68"/>
      <c r="F38" s="68"/>
      <c r="G38" s="68"/>
      <c r="K38" s="21"/>
    </row>
    <row r="39" spans="3:11" ht="15" outlineLevel="1" x14ac:dyDescent="0.25">
      <c r="C39" s="68" t="s">
        <v>44</v>
      </c>
      <c r="D39" s="68"/>
      <c r="E39" s="68"/>
      <c r="F39" s="68"/>
      <c r="G39" s="68"/>
      <c r="I39" s="26">
        <v>77</v>
      </c>
      <c r="K39" s="21" t="s">
        <v>45</v>
      </c>
    </row>
    <row r="40" spans="3:11" ht="15" outlineLevel="1" x14ac:dyDescent="0.25">
      <c r="C40" s="68"/>
      <c r="D40" s="68"/>
      <c r="E40" s="68"/>
      <c r="F40" s="68"/>
      <c r="G40" s="68"/>
      <c r="K40" s="21"/>
    </row>
    <row r="41" spans="3:11" ht="15" outlineLevel="1" x14ac:dyDescent="0.25">
      <c r="C41" s="68" t="s">
        <v>46</v>
      </c>
      <c r="D41" s="68"/>
      <c r="E41" s="68"/>
      <c r="F41" s="68"/>
      <c r="G41" s="68"/>
      <c r="I41" s="27">
        <f>I39</f>
        <v>77</v>
      </c>
      <c r="K41" s="21" t="str">
        <f>C41</f>
        <v>Line Total</v>
      </c>
    </row>
    <row r="42" spans="3:11" ht="15" outlineLevel="1" x14ac:dyDescent="0.25">
      <c r="C42" s="68"/>
      <c r="D42" s="68"/>
      <c r="E42" s="68"/>
      <c r="F42" s="68"/>
      <c r="G42" s="68"/>
      <c r="K42" s="21"/>
    </row>
    <row r="43" spans="3:11" ht="15" outlineLevel="1" x14ac:dyDescent="0.25">
      <c r="C43" s="68" t="s">
        <v>47</v>
      </c>
      <c r="D43" s="68"/>
      <c r="E43" s="68"/>
      <c r="F43" s="68"/>
      <c r="G43" s="68"/>
      <c r="I43" s="28">
        <v>365</v>
      </c>
      <c r="K43" s="21" t="str">
        <f>C43</f>
        <v>Parameter</v>
      </c>
    </row>
    <row r="44" spans="3:11" ht="15" outlineLevel="1" x14ac:dyDescent="0.25">
      <c r="C44" s="68"/>
      <c r="D44" s="68"/>
      <c r="E44" s="68"/>
      <c r="F44" s="68"/>
      <c r="G44" s="68"/>
      <c r="K44" s="21"/>
    </row>
    <row r="45" spans="3:11" ht="15" outlineLevel="1" x14ac:dyDescent="0.25">
      <c r="C45" s="68" t="s">
        <v>48</v>
      </c>
      <c r="D45" s="68"/>
      <c r="E45" s="68"/>
      <c r="F45" s="68"/>
      <c r="G45" s="68"/>
      <c r="I45" s="29" t="s">
        <v>49</v>
      </c>
      <c r="K45" s="21" t="str">
        <f>C45</f>
        <v>Range Name Description</v>
      </c>
    </row>
    <row r="46" spans="3:11" ht="15" outlineLevel="1" x14ac:dyDescent="0.25">
      <c r="C46" s="68"/>
      <c r="D46" s="68"/>
      <c r="E46" s="68"/>
      <c r="F46" s="68"/>
      <c r="G46" s="68"/>
      <c r="K46" s="21"/>
    </row>
    <row r="47" spans="3:11" ht="15" outlineLevel="1" x14ac:dyDescent="0.25">
      <c r="C47" s="68" t="s">
        <v>50</v>
      </c>
      <c r="D47" s="68"/>
      <c r="E47" s="68"/>
      <c r="F47" s="68"/>
      <c r="G47" s="68"/>
      <c r="I47" s="30">
        <f>ROW(C47)</f>
        <v>47</v>
      </c>
      <c r="K47" s="21" t="s">
        <v>51</v>
      </c>
    </row>
    <row r="48" spans="3:11" ht="15" outlineLevel="1" x14ac:dyDescent="0.25">
      <c r="C48" s="68"/>
      <c r="D48" s="68"/>
      <c r="E48" s="68"/>
      <c r="F48" s="68"/>
      <c r="G48" s="68"/>
      <c r="K48" s="21"/>
    </row>
    <row r="49" spans="2:13" ht="15" outlineLevel="1" x14ac:dyDescent="0.25">
      <c r="C49" s="68" t="s">
        <v>52</v>
      </c>
      <c r="D49" s="68"/>
      <c r="E49" s="68"/>
      <c r="F49" s="68"/>
      <c r="G49" s="68"/>
      <c r="I49" s="31">
        <f>I41</f>
        <v>77</v>
      </c>
      <c r="K49" s="21" t="str">
        <f>C49</f>
        <v>Row Summary</v>
      </c>
    </row>
    <row r="50" spans="2:13" ht="15" outlineLevel="1" x14ac:dyDescent="0.25">
      <c r="C50" s="68"/>
      <c r="D50" s="68"/>
      <c r="E50" s="68"/>
      <c r="F50" s="68"/>
      <c r="G50" s="68"/>
      <c r="K50" s="21"/>
    </row>
    <row r="51" spans="2:13" ht="15" outlineLevel="1" x14ac:dyDescent="0.25">
      <c r="C51" s="68" t="s">
        <v>53</v>
      </c>
      <c r="D51" s="68"/>
      <c r="E51" s="68"/>
      <c r="F51" s="68"/>
      <c r="G51" s="68"/>
      <c r="I51" s="32" t="s">
        <v>68</v>
      </c>
      <c r="K51" s="21" t="str">
        <f>C51</f>
        <v>Units</v>
      </c>
    </row>
    <row r="52" spans="2:13" ht="15" outlineLevel="1" x14ac:dyDescent="0.25">
      <c r="C52" s="68"/>
      <c r="D52" s="68"/>
      <c r="E52" s="68"/>
      <c r="F52" s="68"/>
      <c r="G52" s="68"/>
      <c r="K52" s="21"/>
    </row>
    <row r="53" spans="2:13" ht="15" outlineLevel="1" x14ac:dyDescent="0.25">
      <c r="C53" s="68" t="s">
        <v>54</v>
      </c>
      <c r="D53" s="68"/>
      <c r="E53" s="68"/>
      <c r="F53" s="68"/>
      <c r="G53" s="68"/>
      <c r="I53" s="33"/>
      <c r="K53" s="21" t="str">
        <f>C53</f>
        <v>WIP</v>
      </c>
    </row>
    <row r="54" spans="2:13" ht="15" outlineLevel="1" x14ac:dyDescent="0.25">
      <c r="C54" s="68"/>
      <c r="D54" s="68"/>
      <c r="E54" s="68"/>
      <c r="F54" s="68"/>
      <c r="G54" s="68"/>
      <c r="K54" s="21"/>
    </row>
    <row r="55" spans="2:13" outlineLevel="1" x14ac:dyDescent="0.2">
      <c r="C55" s="68"/>
      <c r="D55" s="68"/>
      <c r="E55" s="68"/>
      <c r="F55" s="68"/>
      <c r="G55" s="68"/>
    </row>
    <row r="56" spans="2:13" ht="16.5" thickBot="1" x14ac:dyDescent="0.3">
      <c r="B56" s="42">
        <f>MAX($B$5:$B55)+1</f>
        <v>3</v>
      </c>
      <c r="C56" s="2" t="s">
        <v>55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69" t="s">
        <v>27</v>
      </c>
      <c r="D58" s="69"/>
      <c r="E58" s="69"/>
      <c r="F58" s="69"/>
      <c r="G58" s="69"/>
      <c r="H58" s="13"/>
      <c r="I58" s="13" t="s">
        <v>28</v>
      </c>
      <c r="J58" s="13"/>
      <c r="K58" s="13" t="s">
        <v>29</v>
      </c>
    </row>
    <row r="59" spans="2:13" outlineLevel="1" x14ac:dyDescent="0.2"/>
    <row r="60" spans="2:13" ht="15" outlineLevel="1" x14ac:dyDescent="0.25">
      <c r="C60" s="68" t="s">
        <v>56</v>
      </c>
      <c r="D60" s="68"/>
      <c r="E60" s="68"/>
      <c r="F60" s="68"/>
      <c r="G60" s="68"/>
      <c r="I60" s="43">
        <v>123456.789</v>
      </c>
      <c r="K60" s="21" t="str">
        <f t="shared" ref="K60:K66" si="0">C60</f>
        <v>Comma</v>
      </c>
    </row>
    <row r="61" spans="2:13" ht="15" outlineLevel="1" x14ac:dyDescent="0.25">
      <c r="C61" s="68"/>
      <c r="D61" s="68"/>
      <c r="E61" s="68"/>
      <c r="F61" s="68"/>
      <c r="G61" s="68"/>
      <c r="K61" s="21"/>
    </row>
    <row r="62" spans="2:13" ht="15" outlineLevel="1" x14ac:dyDescent="0.25">
      <c r="C62" s="68" t="s">
        <v>57</v>
      </c>
      <c r="D62" s="68"/>
      <c r="E62" s="68"/>
      <c r="F62" s="68"/>
      <c r="G62" s="68"/>
      <c r="I62" s="34">
        <v>-123456.789</v>
      </c>
      <c r="K62" s="21" t="str">
        <f t="shared" si="0"/>
        <v>Comma [0]</v>
      </c>
    </row>
    <row r="63" spans="2:13" ht="15" outlineLevel="1" x14ac:dyDescent="0.25">
      <c r="C63" s="68"/>
      <c r="D63" s="68"/>
      <c r="E63" s="68"/>
      <c r="F63" s="68"/>
      <c r="G63" s="68"/>
      <c r="K63" s="21"/>
    </row>
    <row r="64" spans="2:13" ht="15" outlineLevel="1" x14ac:dyDescent="0.25">
      <c r="C64" s="68" t="s">
        <v>58</v>
      </c>
      <c r="D64" s="68"/>
      <c r="E64" s="68"/>
      <c r="F64" s="68"/>
      <c r="G64" s="68"/>
      <c r="I64" s="44">
        <v>123456.789</v>
      </c>
      <c r="K64" s="21" t="str">
        <f t="shared" si="0"/>
        <v>Currency</v>
      </c>
    </row>
    <row r="65" spans="3:11" ht="15" outlineLevel="1" x14ac:dyDescent="0.25">
      <c r="C65" s="68"/>
      <c r="D65" s="68"/>
      <c r="E65" s="68"/>
      <c r="F65" s="68"/>
      <c r="G65" s="68"/>
      <c r="K65" s="21"/>
    </row>
    <row r="66" spans="3:11" ht="15" outlineLevel="1" x14ac:dyDescent="0.25">
      <c r="C66" s="68" t="s">
        <v>59</v>
      </c>
      <c r="D66" s="68"/>
      <c r="E66" s="68"/>
      <c r="F66" s="68"/>
      <c r="G66" s="68"/>
      <c r="I66" s="45">
        <v>123456.789</v>
      </c>
      <c r="K66" s="21" t="str">
        <f t="shared" si="0"/>
        <v>Currency [0]</v>
      </c>
    </row>
    <row r="67" spans="3:11" ht="15" outlineLevel="1" x14ac:dyDescent="0.25">
      <c r="C67" s="68"/>
      <c r="D67" s="68"/>
      <c r="E67" s="68"/>
      <c r="F67" s="68"/>
      <c r="G67" s="68"/>
      <c r="K67" s="21"/>
    </row>
    <row r="68" spans="3:11" ht="15" outlineLevel="1" x14ac:dyDescent="0.25">
      <c r="C68" s="68" t="s">
        <v>60</v>
      </c>
      <c r="D68" s="68"/>
      <c r="E68" s="68"/>
      <c r="F68" s="68"/>
      <c r="G68" s="68"/>
      <c r="I68" s="46">
        <f ca="1">TODAY()</f>
        <v>46091</v>
      </c>
      <c r="K68" s="21" t="str">
        <f>C68</f>
        <v>Date</v>
      </c>
    </row>
    <row r="69" spans="3:11" ht="15" outlineLevel="1" x14ac:dyDescent="0.25">
      <c r="C69" s="68"/>
      <c r="D69" s="68"/>
      <c r="E69" s="68"/>
      <c r="F69" s="68"/>
      <c r="G69" s="68"/>
      <c r="K69" s="21"/>
    </row>
    <row r="70" spans="3:11" ht="15" outlineLevel="1" x14ac:dyDescent="0.25">
      <c r="C70" s="68" t="s">
        <v>61</v>
      </c>
      <c r="D70" s="68"/>
      <c r="E70" s="68"/>
      <c r="F70" s="68"/>
      <c r="G70" s="68"/>
      <c r="I70" s="47">
        <f ca="1">TODAY()</f>
        <v>46091</v>
      </c>
      <c r="K70" s="21" t="str">
        <f>C70</f>
        <v>Date Heading</v>
      </c>
    </row>
    <row r="71" spans="3:11" ht="15" outlineLevel="1" x14ac:dyDescent="0.25">
      <c r="C71" s="68"/>
      <c r="D71" s="68"/>
      <c r="E71" s="68"/>
      <c r="F71" s="68"/>
      <c r="G71" s="68"/>
      <c r="K71" s="21"/>
    </row>
    <row r="72" spans="3:11" ht="15" outlineLevel="1" x14ac:dyDescent="0.25">
      <c r="C72" s="68" t="s">
        <v>62</v>
      </c>
      <c r="D72" s="68"/>
      <c r="E72" s="68"/>
      <c r="F72" s="68"/>
      <c r="G72" s="68"/>
      <c r="I72" s="35">
        <v>-123456.789</v>
      </c>
      <c r="K72" s="21" t="str">
        <f>C72</f>
        <v>Numbers 0</v>
      </c>
    </row>
    <row r="73" spans="3:11" ht="15" outlineLevel="1" x14ac:dyDescent="0.25">
      <c r="C73" s="68"/>
      <c r="D73" s="68"/>
      <c r="E73" s="68"/>
      <c r="F73" s="68"/>
      <c r="G73" s="68"/>
      <c r="K73" s="21"/>
    </row>
    <row r="74" spans="3:11" ht="15" outlineLevel="1" x14ac:dyDescent="0.25">
      <c r="C74" s="68" t="s">
        <v>63</v>
      </c>
      <c r="D74" s="68"/>
      <c r="E74" s="68"/>
      <c r="F74" s="68"/>
      <c r="G74" s="68"/>
      <c r="I74" s="36">
        <v>0.5</v>
      </c>
      <c r="K74" s="21" t="str">
        <f>C74</f>
        <v>Percent</v>
      </c>
    </row>
    <row r="75" spans="3:11" outlineLevel="1" x14ac:dyDescent="0.2">
      <c r="C75" s="68"/>
      <c r="D75" s="68"/>
      <c r="E75" s="68"/>
      <c r="F75" s="68"/>
      <c r="G75" s="68"/>
    </row>
    <row r="76" spans="3:11" outlineLevel="1" x14ac:dyDescent="0.2">
      <c r="C76" s="68"/>
      <c r="D76" s="68"/>
      <c r="E76" s="68"/>
      <c r="F76" s="68"/>
      <c r="G76" s="68"/>
    </row>
    <row r="77" spans="3:11" x14ac:dyDescent="0.2">
      <c r="C77" s="68"/>
      <c r="D77" s="68"/>
      <c r="E77" s="68"/>
      <c r="F77" s="68"/>
      <c r="G77" s="68"/>
    </row>
    <row r="78" spans="3:11" x14ac:dyDescent="0.2">
      <c r="C78" s="68"/>
      <c r="D78" s="68"/>
      <c r="E78" s="68"/>
      <c r="F78" s="68"/>
      <c r="G78" s="68"/>
    </row>
    <row r="79" spans="3:11" x14ac:dyDescent="0.2">
      <c r="C79" s="68"/>
      <c r="D79" s="68"/>
      <c r="E79" s="68"/>
      <c r="F79" s="68"/>
      <c r="G79" s="68"/>
    </row>
    <row r="80" spans="3:11" x14ac:dyDescent="0.2">
      <c r="C80" s="68"/>
      <c r="D80" s="68"/>
      <c r="E80" s="68"/>
      <c r="F80" s="68"/>
      <c r="G80" s="68"/>
    </row>
    <row r="81" spans="3:7" x14ac:dyDescent="0.2">
      <c r="C81" s="68"/>
      <c r="D81" s="68"/>
      <c r="E81" s="68"/>
      <c r="F81" s="68"/>
      <c r="G81" s="68"/>
    </row>
  </sheetData>
  <mergeCells count="66"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81:G81"/>
    <mergeCell ref="C75:G75"/>
    <mergeCell ref="C76:G76"/>
    <mergeCell ref="C77:G77"/>
    <mergeCell ref="C78:G78"/>
    <mergeCell ref="C79:G79"/>
    <mergeCell ref="C80:G80"/>
  </mergeCells>
  <conditionalFormatting sqref="I4">
    <cfRule type="cellIs" dxfId="31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I28" sqref="I28"/>
      <selection pane="bottomLeft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Model Parameters</v>
      </c>
      <c r="J1" s="67"/>
      <c r="K1" s="67"/>
    </row>
    <row r="2" spans="1:18" ht="18" x14ac:dyDescent="0.25">
      <c r="A2" s="41" t="str">
        <f ca="1">Model_Name</f>
        <v>SP-ChristmasTree.xlsm</v>
      </c>
    </row>
    <row r="3" spans="1:18" x14ac:dyDescent="0.2">
      <c r="A3" s="67" t="s">
        <v>1</v>
      </c>
      <c r="B3" s="67"/>
      <c r="C3" s="67"/>
      <c r="D3" s="67"/>
      <c r="E3" s="67"/>
    </row>
    <row r="4" spans="1:18" ht="14.25" x14ac:dyDescent="0.2">
      <c r="E4" t="s">
        <v>2</v>
      </c>
      <c r="I4" s="1">
        <f>Overall_Error_Check</f>
        <v>0</v>
      </c>
    </row>
    <row r="6" spans="1:18" ht="16.5" thickBot="1" x14ac:dyDescent="0.3">
      <c r="B6" s="42">
        <f>MAX($B$5:$B5)+1</f>
        <v>1</v>
      </c>
      <c r="C6" s="2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4</v>
      </c>
    </row>
    <row r="9" spans="1:18" ht="16.5" outlineLevel="1" x14ac:dyDescent="0.25">
      <c r="C9" s="3"/>
    </row>
    <row r="10" spans="1:18" ht="16.5" outlineLevel="1" x14ac:dyDescent="0.25">
      <c r="C10" s="3"/>
      <c r="E10" s="4" t="s">
        <v>3</v>
      </c>
    </row>
    <row r="11" spans="1:18" outlineLevel="1" x14ac:dyDescent="0.2">
      <c r="E11" t="s">
        <v>5</v>
      </c>
      <c r="G11" s="70" t="str">
        <f ca="1">IF(ISERROR(OR(FIND("[",CELL("filename",A1)),FIND("]",CELL("filename",A1)))),"",MID(CELL("filename",A1),FIND("[",CELL("filename",A1))+1,FIND("]",CELL("filename",A1))-FIND("[",CELL("filename",A1))-1))</f>
        <v>SP-ChristmasTree.xlsm</v>
      </c>
      <c r="H11" s="70"/>
      <c r="I11" s="70"/>
      <c r="J11" s="70"/>
      <c r="K11" s="70"/>
      <c r="L11" s="70"/>
      <c r="M11" s="70"/>
      <c r="N11" s="70"/>
    </row>
    <row r="12" spans="1:18" outlineLevel="1" x14ac:dyDescent="0.2">
      <c r="E12" t="s">
        <v>6</v>
      </c>
      <c r="G12" s="71" t="s">
        <v>69</v>
      </c>
      <c r="H12" s="71"/>
      <c r="I12" s="71"/>
      <c r="J12" s="71"/>
      <c r="K12" s="71"/>
      <c r="L12" s="71"/>
      <c r="M12" s="71"/>
      <c r="N12" s="71"/>
    </row>
    <row r="13" spans="1:18" outlineLevel="1" x14ac:dyDescent="0.2"/>
    <row r="14" spans="1:18" outlineLevel="1" x14ac:dyDescent="0.2"/>
    <row r="15" spans="1:18" ht="16.5" thickBot="1" x14ac:dyDescent="0.3">
      <c r="B15" s="42">
        <f>MAX($B$5:$B14)+1</f>
        <v>2</v>
      </c>
      <c r="C15" s="2" t="s">
        <v>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8</v>
      </c>
    </row>
    <row r="18" spans="3:7" outlineLevel="1" x14ac:dyDescent="0.2"/>
    <row r="19" spans="3:7" outlineLevel="1" x14ac:dyDescent="0.2">
      <c r="E19" t="s">
        <v>9</v>
      </c>
      <c r="G19" s="5">
        <v>365</v>
      </c>
    </row>
    <row r="20" spans="3:7" outlineLevel="1" x14ac:dyDescent="0.2">
      <c r="E20" t="s">
        <v>10</v>
      </c>
      <c r="G20" s="5">
        <v>1</v>
      </c>
    </row>
    <row r="21" spans="3:7" outlineLevel="1" x14ac:dyDescent="0.2">
      <c r="E21" t="s">
        <v>11</v>
      </c>
      <c r="G21" s="5">
        <v>3</v>
      </c>
    </row>
    <row r="22" spans="3:7" outlineLevel="1" x14ac:dyDescent="0.2">
      <c r="E22" t="s">
        <v>12</v>
      </c>
      <c r="G22" s="5">
        <v>6</v>
      </c>
    </row>
    <row r="23" spans="3:7" outlineLevel="1" x14ac:dyDescent="0.2">
      <c r="E23" t="s">
        <v>13</v>
      </c>
      <c r="G23" s="5">
        <v>12</v>
      </c>
    </row>
    <row r="24" spans="3:7" outlineLevel="1" x14ac:dyDescent="0.2">
      <c r="E24" t="s">
        <v>14</v>
      </c>
      <c r="G24" s="5">
        <v>4</v>
      </c>
    </row>
    <row r="25" spans="3:7" outlineLevel="1" x14ac:dyDescent="0.2"/>
    <row r="26" spans="3:7" outlineLevel="1" x14ac:dyDescent="0.2">
      <c r="E26" t="s">
        <v>15</v>
      </c>
      <c r="G26" s="5">
        <v>5</v>
      </c>
    </row>
    <row r="27" spans="3:7" outlineLevel="1" x14ac:dyDescent="0.2"/>
    <row r="28" spans="3:7" outlineLevel="1" x14ac:dyDescent="0.2">
      <c r="E28" t="s">
        <v>16</v>
      </c>
      <c r="G28" s="6">
        <v>9.9999999999999997E+98</v>
      </c>
    </row>
    <row r="29" spans="3:7" outlineLevel="1" x14ac:dyDescent="0.2">
      <c r="E29" t="s">
        <v>17</v>
      </c>
      <c r="G29" s="6">
        <v>1E-8</v>
      </c>
    </row>
    <row r="30" spans="3:7" outlineLevel="1" x14ac:dyDescent="0.2"/>
    <row r="31" spans="3:7" outlineLevel="1" x14ac:dyDescent="0.2">
      <c r="E31" t="s">
        <v>18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30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A0862-9E71-4D71-848A-C1038FC5F3DD}">
  <sheetPr codeName="CT"/>
  <dimension ref="A1:BP185"/>
  <sheetViews>
    <sheetView showGridLines="0" zoomScale="70" zoomScaleNormal="70" workbookViewId="0">
      <pane ySplit="4" topLeftCell="A5" activePane="bottomLeft" state="frozen"/>
      <selection pane="bottomLeft"/>
    </sheetView>
  </sheetViews>
  <sheetFormatPr defaultRowHeight="12" x14ac:dyDescent="0.2"/>
  <cols>
    <col min="1" max="3" width="3.7109375" customWidth="1"/>
    <col min="4" max="4" width="12.85546875" customWidth="1"/>
    <col min="5" max="5" width="9.85546875" customWidth="1"/>
    <col min="6" max="11" width="9.28515625" customWidth="1"/>
    <col min="12" max="76" width="2.7109375" customWidth="1"/>
    <col min="77" max="85" width="2.28515625" customWidth="1"/>
  </cols>
  <sheetData>
    <row r="1" spans="1:39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Christmas Trees</v>
      </c>
      <c r="N1" s="11"/>
    </row>
    <row r="2" spans="1:39" ht="18" x14ac:dyDescent="0.25">
      <c r="A2" s="41" t="str">
        <f ca="1">Model_Name</f>
        <v>SP-ChristmasTree.xlsm</v>
      </c>
    </row>
    <row r="3" spans="1:39" x14ac:dyDescent="0.2">
      <c r="A3" s="67" t="s">
        <v>1</v>
      </c>
      <c r="B3" s="67"/>
      <c r="C3" s="67"/>
      <c r="D3" s="67"/>
      <c r="E3" s="67"/>
    </row>
    <row r="4" spans="1:39" ht="14.25" x14ac:dyDescent="0.2">
      <c r="B4" t="s">
        <v>2</v>
      </c>
      <c r="F4" s="1">
        <f>Overall_Error_Check</f>
        <v>0</v>
      </c>
    </row>
    <row r="5" spans="1:39" x14ac:dyDescent="0.2">
      <c r="A5" s="11"/>
    </row>
    <row r="6" spans="1:39" ht="16.5" thickBot="1" x14ac:dyDescent="0.3">
      <c r="B6" s="42">
        <f>MAX($B$5:$B5)+1</f>
        <v>1</v>
      </c>
      <c r="C6" s="2" t="str">
        <f ca="1">A1</f>
        <v>Christmas Trees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1:39" ht="12.75" thickTop="1" x14ac:dyDescent="0.2"/>
    <row r="8" spans="1:39" ht="16.5" x14ac:dyDescent="0.25">
      <c r="C8" s="3" t="s">
        <v>106</v>
      </c>
    </row>
    <row r="10" spans="1:39" x14ac:dyDescent="0.2">
      <c r="D10" s="13" t="s">
        <v>104</v>
      </c>
    </row>
    <row r="11" spans="1:39" x14ac:dyDescent="0.2">
      <c r="D11" s="20" t="s">
        <v>74</v>
      </c>
    </row>
    <row r="12" spans="1:39" x14ac:dyDescent="0.2">
      <c r="D12" s="20" t="s">
        <v>75</v>
      </c>
    </row>
    <row r="13" spans="1:39" x14ac:dyDescent="0.2">
      <c r="D13" s="20" t="s">
        <v>76</v>
      </c>
    </row>
    <row r="14" spans="1:39" x14ac:dyDescent="0.2">
      <c r="D14" s="20" t="s">
        <v>77</v>
      </c>
    </row>
    <row r="15" spans="1:39" x14ac:dyDescent="0.2">
      <c r="D15" s="20" t="s">
        <v>78</v>
      </c>
    </row>
    <row r="16" spans="1:39" ht="12" customHeight="1" x14ac:dyDescent="0.2">
      <c r="D16" s="20" t="s">
        <v>79</v>
      </c>
    </row>
    <row r="17" spans="4:4" ht="12" customHeight="1" x14ac:dyDescent="0.2">
      <c r="D17" s="20" t="s">
        <v>80</v>
      </c>
    </row>
    <row r="18" spans="4:4" ht="12" customHeight="1" x14ac:dyDescent="0.2">
      <c r="D18" s="20" t="s">
        <v>81</v>
      </c>
    </row>
    <row r="19" spans="4:4" ht="12" customHeight="1" x14ac:dyDescent="0.2">
      <c r="D19" s="20" t="s">
        <v>82</v>
      </c>
    </row>
    <row r="20" spans="4:4" ht="12" customHeight="1" x14ac:dyDescent="0.2">
      <c r="D20" s="20" t="s">
        <v>83</v>
      </c>
    </row>
    <row r="21" spans="4:4" ht="12" customHeight="1" x14ac:dyDescent="0.2">
      <c r="D21" s="20" t="s">
        <v>84</v>
      </c>
    </row>
    <row r="22" spans="4:4" ht="12" customHeight="1" x14ac:dyDescent="0.2">
      <c r="D22" s="20" t="s">
        <v>85</v>
      </c>
    </row>
    <row r="23" spans="4:4" ht="12" customHeight="1" x14ac:dyDescent="0.2">
      <c r="D23" s="20" t="s">
        <v>86</v>
      </c>
    </row>
    <row r="24" spans="4:4" x14ac:dyDescent="0.2">
      <c r="D24" s="20" t="s">
        <v>87</v>
      </c>
    </row>
    <row r="25" spans="4:4" ht="12" customHeight="1" x14ac:dyDescent="0.2">
      <c r="D25" s="20" t="s">
        <v>88</v>
      </c>
    </row>
    <row r="26" spans="4:4" ht="12" customHeight="1" x14ac:dyDescent="0.2">
      <c r="D26" s="20" t="s">
        <v>89</v>
      </c>
    </row>
    <row r="27" spans="4:4" ht="12" customHeight="1" x14ac:dyDescent="0.2">
      <c r="D27" s="20" t="s">
        <v>90</v>
      </c>
    </row>
    <row r="28" spans="4:4" ht="12" customHeight="1" x14ac:dyDescent="0.2">
      <c r="D28" s="20" t="s">
        <v>91</v>
      </c>
    </row>
    <row r="29" spans="4:4" ht="12" customHeight="1" x14ac:dyDescent="0.2">
      <c r="D29" s="20" t="s">
        <v>92</v>
      </c>
    </row>
    <row r="30" spans="4:4" x14ac:dyDescent="0.2">
      <c r="D30" s="20" t="s">
        <v>93</v>
      </c>
    </row>
    <row r="31" spans="4:4" x14ac:dyDescent="0.2">
      <c r="D31" s="20" t="s">
        <v>94</v>
      </c>
    </row>
    <row r="32" spans="4:4" x14ac:dyDescent="0.2">
      <c r="D32" s="20" t="s">
        <v>95</v>
      </c>
    </row>
    <row r="33" spans="3:7" x14ac:dyDescent="0.2">
      <c r="D33" s="20" t="s">
        <v>96</v>
      </c>
    </row>
    <row r="34" spans="3:7" x14ac:dyDescent="0.2">
      <c r="D34" s="20" t="s">
        <v>97</v>
      </c>
    </row>
    <row r="35" spans="3:7" x14ac:dyDescent="0.2">
      <c r="D35" s="20" t="s">
        <v>98</v>
      </c>
    </row>
    <row r="36" spans="3:7" x14ac:dyDescent="0.2">
      <c r="D36" s="20" t="s">
        <v>99</v>
      </c>
    </row>
    <row r="37" spans="3:7" x14ac:dyDescent="0.2">
      <c r="D37" s="20" t="s">
        <v>100</v>
      </c>
    </row>
    <row r="38" spans="3:7" x14ac:dyDescent="0.2">
      <c r="D38" s="20" t="s">
        <v>101</v>
      </c>
    </row>
    <row r="39" spans="3:7" x14ac:dyDescent="0.2">
      <c r="D39" s="20" t="s">
        <v>102</v>
      </c>
    </row>
    <row r="40" spans="3:7" x14ac:dyDescent="0.2">
      <c r="D40" s="20" t="s">
        <v>103</v>
      </c>
    </row>
    <row r="43" spans="3:7" ht="16.5" x14ac:dyDescent="0.25">
      <c r="C43" s="3" t="s">
        <v>105</v>
      </c>
    </row>
    <row r="45" spans="3:7" ht="15" x14ac:dyDescent="0.25">
      <c r="D45" s="4" t="s">
        <v>106</v>
      </c>
    </row>
    <row r="47" spans="3:7" x14ac:dyDescent="0.2">
      <c r="E47" t="s">
        <v>73</v>
      </c>
      <c r="G47" s="20">
        <f>ROWS(LU_Stars)</f>
        <v>30</v>
      </c>
    </row>
    <row r="48" spans="3:7" x14ac:dyDescent="0.2">
      <c r="E48" t="s">
        <v>71</v>
      </c>
      <c r="G48">
        <f>I51</f>
        <v>20</v>
      </c>
    </row>
    <row r="50" spans="4:9" x14ac:dyDescent="0.2">
      <c r="H50" s="48"/>
      <c r="I50" s="48">
        <f>G48</f>
        <v>20</v>
      </c>
    </row>
    <row r="51" spans="4:9" x14ac:dyDescent="0.2">
      <c r="E51" t="s">
        <v>72</v>
      </c>
      <c r="H51" s="48">
        <f>MOD(G48,G47)+1</f>
        <v>21</v>
      </c>
      <c r="I51" s="48">
        <f t="dataTable" ref="I51" dt2D="0" dtr="1" r1="G48" ca="1"/>
        <v>20</v>
      </c>
    </row>
    <row r="54" spans="4:9" ht="15" x14ac:dyDescent="0.25">
      <c r="D54" s="4" t="s">
        <v>116</v>
      </c>
    </row>
    <row r="56" spans="4:9" x14ac:dyDescent="0.2">
      <c r="E56" t="s">
        <v>114</v>
      </c>
      <c r="G56" s="20">
        <v>5</v>
      </c>
      <c r="I56" s="48">
        <f>MOD(I51-1,G56)+1</f>
        <v>5</v>
      </c>
    </row>
    <row r="57" spans="4:9" x14ac:dyDescent="0.2">
      <c r="E57" t="s">
        <v>115</v>
      </c>
      <c r="G57" s="22">
        <v>2</v>
      </c>
      <c r="I57" s="48">
        <f>MOD(G64,2)</f>
        <v>1</v>
      </c>
    </row>
    <row r="60" spans="4:9" ht="15" x14ac:dyDescent="0.25">
      <c r="D60" s="4" t="s">
        <v>111</v>
      </c>
    </row>
    <row r="62" spans="4:9" x14ac:dyDescent="0.2">
      <c r="E62" t="s">
        <v>117</v>
      </c>
      <c r="G62" s="20" t="s">
        <v>113</v>
      </c>
    </row>
    <row r="63" spans="4:9" x14ac:dyDescent="0.2">
      <c r="E63" t="s">
        <v>73</v>
      </c>
      <c r="G63">
        <f>LEN(G62)</f>
        <v>94</v>
      </c>
    </row>
    <row r="64" spans="4:9" x14ac:dyDescent="0.2">
      <c r="E64" t="s">
        <v>71</v>
      </c>
      <c r="G64">
        <f>I67</f>
        <v>3</v>
      </c>
    </row>
    <row r="66" spans="3:43" x14ac:dyDescent="0.2">
      <c r="H66" s="48"/>
      <c r="I66" s="48">
        <f>G64</f>
        <v>3</v>
      </c>
    </row>
    <row r="67" spans="3:43" x14ac:dyDescent="0.2">
      <c r="E67" t="s">
        <v>72</v>
      </c>
      <c r="H67" s="60">
        <f>MOD(G64,G63)+1</f>
        <v>4</v>
      </c>
      <c r="I67" s="48">
        <f t="dataTable" ref="I67" dt2D="0" dtr="1" r1="G64" ca="1"/>
        <v>3</v>
      </c>
    </row>
    <row r="71" spans="3:43" x14ac:dyDescent="0.2">
      <c r="L71" t="str" cm="1">
        <f t="array" ref="L71:AQ71">MID(G62,MOD(_xlfn.SEQUENCE(,32,I67)-1,G63)+1,1)</f>
        <v>r</v>
      </c>
      <c r="M71" t="str">
        <v>r</v>
      </c>
      <c r="N71" t="str">
        <v>y</v>
      </c>
      <c r="O71" t="str">
        <v xml:space="preserve"> </v>
      </c>
      <c r="P71" t="str">
        <v>C</v>
      </c>
      <c r="Q71" t="str">
        <v>h</v>
      </c>
      <c r="R71" t="str">
        <v>r</v>
      </c>
      <c r="S71" t="str">
        <v>i</v>
      </c>
      <c r="T71" t="str">
        <v>s</v>
      </c>
      <c r="U71" t="str">
        <v>t</v>
      </c>
      <c r="V71" t="str">
        <v>m</v>
      </c>
      <c r="W71" t="str">
        <v>a</v>
      </c>
      <c r="X71" t="str">
        <v>s</v>
      </c>
      <c r="Y71" t="str">
        <v xml:space="preserve"> </v>
      </c>
      <c r="Z71" t="str">
        <v>&amp;</v>
      </c>
      <c r="AA71" t="str">
        <v xml:space="preserve"> </v>
      </c>
      <c r="AB71" t="str">
        <v>H</v>
      </c>
      <c r="AC71" t="str">
        <v>a</v>
      </c>
      <c r="AD71" t="str">
        <v>p</v>
      </c>
      <c r="AE71" t="str">
        <v>p</v>
      </c>
      <c r="AF71" t="str">
        <v>y</v>
      </c>
      <c r="AG71" t="str">
        <v xml:space="preserve"> </v>
      </c>
      <c r="AH71" t="str">
        <v>N</v>
      </c>
      <c r="AI71" t="str">
        <v>e</v>
      </c>
      <c r="AJ71" t="str">
        <v>w</v>
      </c>
      <c r="AK71" t="str">
        <v xml:space="preserve"> </v>
      </c>
      <c r="AL71" t="str">
        <v>Y</v>
      </c>
      <c r="AM71" t="str">
        <v>e</v>
      </c>
      <c r="AN71" t="str">
        <v>a</v>
      </c>
      <c r="AO71" t="str">
        <v>r</v>
      </c>
      <c r="AP71" t="str">
        <v>!</v>
      </c>
      <c r="AQ71" t="str">
        <v xml:space="preserve"> </v>
      </c>
    </row>
    <row r="74" spans="3:43" ht="16.5" x14ac:dyDescent="0.25">
      <c r="C74" s="3" t="s">
        <v>70</v>
      </c>
    </row>
    <row r="76" spans="3:43" ht="90" x14ac:dyDescent="0.2">
      <c r="Y76" s="52" t="str" cm="1">
        <f t="array" ref="Y76">INDEX(LU_Stars,I51)</f>
        <v>✺</v>
      </c>
    </row>
    <row r="77" spans="3:43" ht="21" customHeight="1" x14ac:dyDescent="0.2"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4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</row>
    <row r="78" spans="3:43" ht="21" customHeight="1" x14ac:dyDescent="0.2"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4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</row>
    <row r="79" spans="3:43" ht="21" customHeight="1" x14ac:dyDescent="0.2"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5" t="str" cm="1">
        <f t="array" aca="1" ref="X79" ca="1">INDEX(LU_Stars,MOD(ROUNDUP($I$51*RAND(),0),$G$47))</f>
        <v>✫</v>
      </c>
      <c r="Y79" s="54"/>
      <c r="Z79" s="54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</row>
    <row r="80" spans="3:43" ht="21" customHeight="1" x14ac:dyDescent="0.2"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5"/>
      <c r="Y80" s="54"/>
      <c r="Z80" s="54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</row>
    <row r="81" spans="12:38" ht="21" customHeight="1" x14ac:dyDescent="0.2"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6"/>
      <c r="X81" s="54"/>
      <c r="Y81" s="54"/>
      <c r="Z81" s="54"/>
      <c r="AA81" s="55" t="str" cm="1">
        <f t="array" aca="1" ref="AA81" ca="1">INDEX(LU_Stars,MOD(ROUNDUP($I$51*RAND(),0),$G$47))</f>
        <v>✯</v>
      </c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</row>
    <row r="82" spans="12:38" ht="21" customHeight="1" x14ac:dyDescent="0.2"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6"/>
      <c r="X82" s="54"/>
      <c r="Y82" s="54"/>
      <c r="Z82" s="54"/>
      <c r="AA82" s="55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</row>
    <row r="83" spans="12:38" ht="21" customHeight="1" x14ac:dyDescent="0.2"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4"/>
      <c r="W83" s="54"/>
      <c r="X83" s="56"/>
      <c r="Y83" s="56"/>
      <c r="Z83" s="54"/>
      <c r="AA83" s="54"/>
      <c r="AB83" s="54"/>
      <c r="AC83" s="53"/>
      <c r="AD83" s="53"/>
      <c r="AE83" s="53"/>
      <c r="AF83" s="53"/>
      <c r="AG83" s="53"/>
      <c r="AH83" s="53"/>
      <c r="AI83" s="53"/>
      <c r="AJ83" s="53"/>
      <c r="AK83" s="53"/>
      <c r="AL83" s="53"/>
    </row>
    <row r="84" spans="12:38" ht="21" customHeight="1" x14ac:dyDescent="0.2"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4"/>
      <c r="W84" s="54"/>
      <c r="X84" s="56"/>
      <c r="Y84" s="56"/>
      <c r="Z84" s="54"/>
      <c r="AA84" s="54"/>
      <c r="AB84" s="54"/>
      <c r="AC84" s="53"/>
      <c r="AD84" s="53"/>
      <c r="AE84" s="53"/>
      <c r="AF84" s="53"/>
      <c r="AG84" s="53"/>
      <c r="AH84" s="53"/>
      <c r="AI84" s="53"/>
      <c r="AJ84" s="53"/>
      <c r="AK84" s="53"/>
      <c r="AL84" s="53"/>
    </row>
    <row r="85" spans="12:38" ht="21" customHeight="1" x14ac:dyDescent="0.2">
      <c r="L85" s="53"/>
      <c r="M85" s="53"/>
      <c r="N85" s="53"/>
      <c r="O85" s="53"/>
      <c r="P85" s="53"/>
      <c r="Q85" s="53"/>
      <c r="R85" s="53"/>
      <c r="S85" s="53"/>
      <c r="T85" s="53"/>
      <c r="U85" s="55" t="str" cm="1">
        <f t="array" aca="1" ref="U85" ca="1">INDEX(LU_Stars,MOD(ROUNDUP($I$51*RAND(),0),$G$47))</f>
        <v>☆</v>
      </c>
      <c r="V85" s="54"/>
      <c r="W85" s="54"/>
      <c r="X85" s="54"/>
      <c r="Y85" s="55" t="str" cm="1">
        <f t="array" aca="1" ref="Y85" ca="1">INDEX(LU_Stars,MOD(ROUNDUP($I$51*RAND(),0),$G$47))</f>
        <v>✫</v>
      </c>
      <c r="Z85" s="56"/>
      <c r="AA85" s="56"/>
      <c r="AB85" s="56"/>
      <c r="AC85" s="56"/>
      <c r="AD85" s="53"/>
      <c r="AE85" s="53"/>
      <c r="AF85" s="53"/>
      <c r="AG85" s="53"/>
      <c r="AH85" s="53"/>
      <c r="AI85" s="53"/>
      <c r="AJ85" s="53"/>
      <c r="AK85" s="53"/>
      <c r="AL85" s="53"/>
    </row>
    <row r="86" spans="12:38" ht="21" customHeight="1" x14ac:dyDescent="0.2">
      <c r="L86" s="53"/>
      <c r="M86" s="53"/>
      <c r="N86" s="53"/>
      <c r="O86" s="53"/>
      <c r="P86" s="53"/>
      <c r="Q86" s="53"/>
      <c r="R86" s="53"/>
      <c r="S86" s="53"/>
      <c r="T86" s="53"/>
      <c r="U86" s="55"/>
      <c r="V86" s="54"/>
      <c r="W86" s="54"/>
      <c r="X86" s="54"/>
      <c r="Y86" s="55"/>
      <c r="Z86" s="56"/>
      <c r="AA86" s="56"/>
      <c r="AB86" s="56"/>
      <c r="AC86" s="56"/>
      <c r="AD86" s="53"/>
      <c r="AE86" s="53"/>
      <c r="AF86" s="53"/>
      <c r="AG86" s="53"/>
      <c r="AH86" s="53"/>
      <c r="AI86" s="53"/>
      <c r="AJ86" s="53"/>
      <c r="AK86" s="53"/>
      <c r="AL86" s="53"/>
    </row>
    <row r="87" spans="12:38" ht="21" customHeight="1" x14ac:dyDescent="0.2">
      <c r="L87" s="53"/>
      <c r="M87" s="53"/>
      <c r="N87" s="53"/>
      <c r="O87" s="53"/>
      <c r="P87" s="53"/>
      <c r="Q87" s="53"/>
      <c r="R87" s="53"/>
      <c r="S87" s="53"/>
      <c r="T87" s="54"/>
      <c r="U87" s="54"/>
      <c r="V87" s="54"/>
      <c r="W87" s="54"/>
      <c r="X87" s="54"/>
      <c r="Y87" s="54"/>
      <c r="Z87" s="54"/>
      <c r="AA87" s="54"/>
      <c r="AB87" s="54"/>
      <c r="AC87" s="55" t="str" cm="1">
        <f t="array" aca="1" ref="AC87" ca="1">INDEX(LU_Stars,MOD(ROUNDUP($I$51*RAND(),0),$G$47))</f>
        <v>✵</v>
      </c>
      <c r="AD87" s="54"/>
      <c r="AE87" s="53"/>
      <c r="AF87" s="53"/>
      <c r="AG87" s="53"/>
      <c r="AH87" s="53"/>
      <c r="AI87" s="53"/>
      <c r="AJ87" s="53"/>
      <c r="AK87" s="53"/>
      <c r="AL87" s="53"/>
    </row>
    <row r="88" spans="12:38" ht="21" customHeight="1" x14ac:dyDescent="0.2">
      <c r="L88" s="53"/>
      <c r="M88" s="53"/>
      <c r="N88" s="53"/>
      <c r="O88" s="53"/>
      <c r="P88" s="53"/>
      <c r="Q88" s="53"/>
      <c r="R88" s="53"/>
      <c r="S88" s="53"/>
      <c r="T88" s="54"/>
      <c r="U88" s="54"/>
      <c r="V88" s="54"/>
      <c r="W88" s="54"/>
      <c r="X88" s="54"/>
      <c r="Y88" s="54"/>
      <c r="Z88" s="54"/>
      <c r="AA88" s="54"/>
      <c r="AB88" s="54"/>
      <c r="AC88" s="55"/>
      <c r="AD88" s="54"/>
      <c r="AE88" s="53"/>
      <c r="AF88" s="53"/>
      <c r="AG88" s="53"/>
      <c r="AH88" s="53"/>
      <c r="AI88" s="53"/>
      <c r="AJ88" s="53"/>
      <c r="AK88" s="53"/>
      <c r="AL88" s="53"/>
    </row>
    <row r="89" spans="12:38" ht="21" customHeight="1" x14ac:dyDescent="0.2">
      <c r="L89" s="53"/>
      <c r="M89" s="53"/>
      <c r="N89" s="53"/>
      <c r="O89" s="53"/>
      <c r="P89" s="53"/>
      <c r="Q89" s="53"/>
      <c r="R89" s="53"/>
      <c r="S89" s="54"/>
      <c r="T89" s="55" t="str" cm="1">
        <f t="array" aca="1" ref="T89" ca="1">INDEX(LU_Stars,MOD(ROUNDUP($I$51*RAND(),0),$G$47))</f>
        <v>✬</v>
      </c>
      <c r="U89" s="54"/>
      <c r="V89" s="54"/>
      <c r="W89" s="54"/>
      <c r="X89" s="55" t="str" cm="1">
        <f t="array" aca="1" ref="X89" ca="1">INDEX(LU_Stars,MOD(ROUNDUP($I$51*RAND(),0),$G$47))</f>
        <v>✯</v>
      </c>
      <c r="Y89" s="54"/>
      <c r="Z89" s="54"/>
      <c r="AA89" s="54"/>
      <c r="AB89" s="54"/>
      <c r="AC89" s="54"/>
      <c r="AD89" s="54"/>
      <c r="AE89" s="56"/>
      <c r="AF89" s="53"/>
      <c r="AG89" s="53"/>
      <c r="AH89" s="53"/>
      <c r="AI89" s="53"/>
      <c r="AJ89" s="53"/>
      <c r="AK89" s="53"/>
      <c r="AL89" s="53"/>
    </row>
    <row r="90" spans="12:38" ht="21" customHeight="1" x14ac:dyDescent="0.2">
      <c r="L90" s="53"/>
      <c r="M90" s="53"/>
      <c r="N90" s="53"/>
      <c r="O90" s="53"/>
      <c r="P90" s="53"/>
      <c r="Q90" s="53"/>
      <c r="R90" s="53"/>
      <c r="S90" s="54"/>
      <c r="T90" s="55"/>
      <c r="U90" s="54"/>
      <c r="V90" s="54"/>
      <c r="W90" s="54"/>
      <c r="X90" s="55"/>
      <c r="Y90" s="54"/>
      <c r="Z90" s="54"/>
      <c r="AA90" s="54"/>
      <c r="AB90" s="54"/>
      <c r="AC90" s="54"/>
      <c r="AD90" s="54"/>
      <c r="AE90" s="56"/>
      <c r="AF90" s="53"/>
      <c r="AG90" s="53"/>
      <c r="AH90" s="53"/>
      <c r="AI90" s="53"/>
      <c r="AJ90" s="53"/>
      <c r="AK90" s="53"/>
      <c r="AL90" s="53"/>
    </row>
    <row r="91" spans="12:38" ht="21" customHeight="1" x14ac:dyDescent="0.2">
      <c r="L91" s="53"/>
      <c r="M91" s="53"/>
      <c r="N91" s="53"/>
      <c r="O91" s="53"/>
      <c r="P91" s="53"/>
      <c r="Q91" s="53"/>
      <c r="R91" s="56"/>
      <c r="S91" s="54"/>
      <c r="T91" s="54"/>
      <c r="U91" s="54"/>
      <c r="V91" s="54"/>
      <c r="W91" s="54"/>
      <c r="X91" s="54"/>
      <c r="Y91" s="54"/>
      <c r="Z91" s="54"/>
      <c r="AA91" s="54"/>
      <c r="AB91" s="55" t="str" cm="1">
        <f t="array" aca="1" ref="AB91" ca="1">INDEX(LU_Stars,MOD(ROUNDUP($I$51*RAND(),0),$G$47))</f>
        <v>✩</v>
      </c>
      <c r="AC91" s="54"/>
      <c r="AD91" s="56"/>
      <c r="AE91" s="54"/>
      <c r="AF91" s="54"/>
      <c r="AG91" s="53"/>
      <c r="AH91" s="53"/>
      <c r="AI91" s="53"/>
      <c r="AJ91" s="53"/>
      <c r="AK91" s="53"/>
      <c r="AL91" s="53"/>
    </row>
    <row r="92" spans="12:38" ht="21" customHeight="1" x14ac:dyDescent="0.2">
      <c r="L92" s="53"/>
      <c r="M92" s="53"/>
      <c r="N92" s="53"/>
      <c r="O92" s="53"/>
      <c r="P92" s="53"/>
      <c r="Q92" s="53"/>
      <c r="R92" s="56"/>
      <c r="S92" s="54"/>
      <c r="T92" s="54"/>
      <c r="U92" s="54"/>
      <c r="V92" s="54"/>
      <c r="W92" s="54"/>
      <c r="X92" s="54"/>
      <c r="Y92" s="54"/>
      <c r="Z92" s="54"/>
      <c r="AA92" s="54"/>
      <c r="AB92" s="55"/>
      <c r="AC92" s="54"/>
      <c r="AD92" s="56"/>
      <c r="AE92" s="54"/>
      <c r="AF92" s="54"/>
      <c r="AG92" s="53"/>
      <c r="AH92" s="53"/>
      <c r="AI92" s="53"/>
      <c r="AJ92" s="53"/>
      <c r="AK92" s="53"/>
      <c r="AL92" s="53"/>
    </row>
    <row r="93" spans="12:38" ht="21" customHeight="1" x14ac:dyDescent="0.2">
      <c r="L93" s="53"/>
      <c r="M93" s="53"/>
      <c r="N93" s="53"/>
      <c r="O93" s="53"/>
      <c r="P93" s="53"/>
      <c r="Q93" s="54"/>
      <c r="R93" s="54"/>
      <c r="S93" s="56"/>
      <c r="T93" s="56"/>
      <c r="U93" s="55" t="str" cm="1">
        <f t="array" aca="1" ref="U93" ca="1">INDEX(LU_Stars,MOD(ROUNDUP($I$51*RAND(),0),$G$47))</f>
        <v>✰</v>
      </c>
      <c r="V93" s="54"/>
      <c r="W93" s="54"/>
      <c r="X93" s="54"/>
      <c r="Y93" s="54"/>
      <c r="Z93" s="55" t="str" cm="1">
        <f t="array" aca="1" ref="Z93" ca="1">INDEX(LU_Stars,MOD(ROUNDUP($I$51*RAND(),0),$G$47))</f>
        <v>✧</v>
      </c>
      <c r="AA93" s="56"/>
      <c r="AB93" s="56"/>
      <c r="AC93" s="56"/>
      <c r="AD93" s="54"/>
      <c r="AE93" s="54"/>
      <c r="AF93" s="54"/>
      <c r="AG93" s="55" t="str" cm="1">
        <f t="array" aca="1" ref="AG93" ca="1">INDEX(LU_Stars,MOD(ROUNDUP($I$51*RAND(),0),$G$47))</f>
        <v>✥</v>
      </c>
      <c r="AH93" s="53"/>
      <c r="AI93" s="53"/>
      <c r="AJ93" s="53"/>
      <c r="AK93" s="53"/>
      <c r="AL93" s="53"/>
    </row>
    <row r="94" spans="12:38" ht="21" customHeight="1" x14ac:dyDescent="0.2">
      <c r="L94" s="53"/>
      <c r="M94" s="53"/>
      <c r="N94" s="53"/>
      <c r="O94" s="53"/>
      <c r="P94" s="53"/>
      <c r="Q94" s="54"/>
      <c r="R94" s="54"/>
      <c r="S94" s="56"/>
      <c r="T94" s="56"/>
      <c r="U94" s="55"/>
      <c r="V94" s="54"/>
      <c r="W94" s="54"/>
      <c r="X94" s="54"/>
      <c r="Y94" s="54"/>
      <c r="Z94" s="55"/>
      <c r="AA94" s="56"/>
      <c r="AB94" s="56"/>
      <c r="AC94" s="56"/>
      <c r="AD94" s="54"/>
      <c r="AE94" s="54"/>
      <c r="AF94" s="54"/>
      <c r="AG94" s="55"/>
      <c r="AH94" s="53"/>
      <c r="AI94" s="53"/>
      <c r="AJ94" s="53"/>
      <c r="AK94" s="53"/>
      <c r="AL94" s="53"/>
    </row>
    <row r="95" spans="12:38" ht="21" customHeight="1" x14ac:dyDescent="0.2">
      <c r="L95" s="53"/>
      <c r="M95" s="53"/>
      <c r="N95" s="53"/>
      <c r="O95" s="53"/>
      <c r="P95" s="54"/>
      <c r="Q95" s="54"/>
      <c r="R95" s="55" t="str" cm="1">
        <f t="array" aca="1" ref="R95" ca="1">INDEX(LU_Stars,MOD(ROUNDUP($I$51*RAND(),0),$G$47))</f>
        <v>★</v>
      </c>
      <c r="S95" s="54"/>
      <c r="T95" s="54"/>
      <c r="U95" s="56"/>
      <c r="V95" s="56"/>
      <c r="W95" s="56"/>
      <c r="X95" s="56"/>
      <c r="Y95" s="56"/>
      <c r="Z95" s="56"/>
      <c r="AA95" s="54"/>
      <c r="AB95" s="54"/>
      <c r="AC95" s="54"/>
      <c r="AD95" s="55" t="str" cm="1">
        <f t="array" aca="1" ref="AD95" ca="1">INDEX(LU_Stars,MOD(ROUNDUP($I$51*RAND(),0),$G$47))</f>
        <v>✹</v>
      </c>
      <c r="AE95" s="54"/>
      <c r="AF95" s="54"/>
      <c r="AG95" s="54"/>
      <c r="AH95" s="54"/>
      <c r="AI95" s="53"/>
      <c r="AJ95" s="53"/>
      <c r="AK95" s="53"/>
      <c r="AL95" s="53"/>
    </row>
    <row r="96" spans="12:38" ht="21" customHeight="1" x14ac:dyDescent="0.2">
      <c r="L96" s="53"/>
      <c r="M96" s="53"/>
      <c r="N96" s="53"/>
      <c r="O96" s="53"/>
      <c r="P96" s="54"/>
      <c r="Q96" s="54"/>
      <c r="R96" s="55"/>
      <c r="S96" s="54"/>
      <c r="T96" s="54"/>
      <c r="U96" s="56"/>
      <c r="V96" s="56"/>
      <c r="W96" s="56"/>
      <c r="X96" s="56"/>
      <c r="Y96" s="56"/>
      <c r="Z96" s="56"/>
      <c r="AA96" s="54"/>
      <c r="AB96" s="54"/>
      <c r="AC96" s="54"/>
      <c r="AD96" s="55"/>
      <c r="AE96" s="54"/>
      <c r="AF96" s="54"/>
      <c r="AG96" s="54"/>
      <c r="AH96" s="54"/>
      <c r="AI96" s="53"/>
      <c r="AJ96" s="53"/>
      <c r="AK96" s="53"/>
      <c r="AL96" s="53"/>
    </row>
    <row r="97" spans="3:38" ht="21" customHeight="1" x14ac:dyDescent="0.2">
      <c r="L97" s="53"/>
      <c r="M97" s="53"/>
      <c r="N97" s="53"/>
      <c r="O97" s="56"/>
      <c r="P97" s="56"/>
      <c r="Q97" s="54"/>
      <c r="R97" s="54"/>
      <c r="S97" s="54"/>
      <c r="T97" s="54"/>
      <c r="U97" s="54"/>
      <c r="V97" s="54"/>
      <c r="W97" s="54"/>
      <c r="X97" s="55" t="str" cm="1">
        <f t="array" aca="1" ref="X97" ca="1">INDEX(LU_Stars,MOD(ROUNDUP($I$51*RAND(),0),$G$47))</f>
        <v>✥</v>
      </c>
      <c r="Y97" s="54"/>
      <c r="Z97" s="54"/>
      <c r="AA97" s="54"/>
      <c r="AB97" s="54"/>
      <c r="AC97" s="54"/>
      <c r="AD97" s="54"/>
      <c r="AE97" s="54"/>
      <c r="AF97" s="54"/>
      <c r="AG97" s="54"/>
      <c r="AH97" s="55" t="str" cm="1">
        <f t="array" aca="1" ref="AH97" ca="1">INDEX(LU_Stars,MOD(ROUNDUP($I$51*RAND(),0),$G$47))</f>
        <v>✧</v>
      </c>
      <c r="AI97" s="54"/>
      <c r="AJ97" s="53"/>
      <c r="AK97" s="53"/>
      <c r="AL97" s="53"/>
    </row>
    <row r="98" spans="3:38" ht="21" customHeight="1" x14ac:dyDescent="0.2">
      <c r="L98" s="53"/>
      <c r="M98" s="53"/>
      <c r="N98" s="53"/>
      <c r="O98" s="56"/>
      <c r="P98" s="56"/>
      <c r="Q98" s="54"/>
      <c r="R98" s="54"/>
      <c r="S98" s="54"/>
      <c r="T98" s="54"/>
      <c r="U98" s="54"/>
      <c r="V98" s="54"/>
      <c r="W98" s="54"/>
      <c r="X98" s="55"/>
      <c r="Y98" s="54"/>
      <c r="Z98" s="54"/>
      <c r="AA98" s="54"/>
      <c r="AB98" s="54"/>
      <c r="AC98" s="54"/>
      <c r="AD98" s="54"/>
      <c r="AE98" s="54"/>
      <c r="AF98" s="54"/>
      <c r="AG98" s="54"/>
      <c r="AH98" s="55"/>
      <c r="AI98" s="54"/>
      <c r="AJ98" s="53"/>
      <c r="AK98" s="53"/>
      <c r="AL98" s="53"/>
    </row>
    <row r="99" spans="3:38" ht="21" customHeight="1" x14ac:dyDescent="0.2">
      <c r="L99" s="53"/>
      <c r="M99" s="53"/>
      <c r="N99" s="54"/>
      <c r="O99" s="54"/>
      <c r="P99" s="54"/>
      <c r="Q99" s="56"/>
      <c r="R99" s="56"/>
      <c r="S99" s="56"/>
      <c r="T99" s="54"/>
      <c r="U99" s="55" t="str" cm="1">
        <f t="array" aca="1" ref="U99" ca="1">INDEX(LU_Stars,MOD(ROUNDUP($I$51*RAND(),0),$G$47))</f>
        <v>⁂</v>
      </c>
      <c r="V99" s="54"/>
      <c r="W99" s="54"/>
      <c r="X99" s="54"/>
      <c r="Y99" s="54"/>
      <c r="Z99" s="54"/>
      <c r="AA99" s="55" t="str" cm="1">
        <f t="array" aca="1" ref="AA99" ca="1">INDEX(LU_Stars,MOD(ROUNDUP($I$51*RAND(),0),$G$47))</f>
        <v>✩</v>
      </c>
      <c r="AB99" s="54"/>
      <c r="AC99" s="54"/>
      <c r="AD99" s="54"/>
      <c r="AE99" s="54"/>
      <c r="AF99" s="54"/>
      <c r="AG99" s="54"/>
      <c r="AH99" s="54"/>
      <c r="AI99" s="54"/>
      <c r="AJ99" s="54"/>
      <c r="AK99" s="53"/>
      <c r="AL99" s="53"/>
    </row>
    <row r="100" spans="3:38" ht="21" customHeight="1" x14ac:dyDescent="0.2">
      <c r="L100" s="53"/>
      <c r="M100" s="53"/>
      <c r="N100" s="54"/>
      <c r="O100" s="54"/>
      <c r="P100" s="54"/>
      <c r="Q100" s="56"/>
      <c r="R100" s="56"/>
      <c r="S100" s="56"/>
      <c r="T100" s="54"/>
      <c r="U100" s="55"/>
      <c r="V100" s="54"/>
      <c r="W100" s="54"/>
      <c r="X100" s="54"/>
      <c r="Y100" s="54"/>
      <c r="Z100" s="54"/>
      <c r="AA100" s="55"/>
      <c r="AB100" s="54"/>
      <c r="AC100" s="54"/>
      <c r="AD100" s="54"/>
      <c r="AE100" s="54"/>
      <c r="AF100" s="54"/>
      <c r="AG100" s="54"/>
      <c r="AH100" s="54"/>
      <c r="AI100" s="54"/>
      <c r="AJ100" s="54"/>
      <c r="AK100" s="53"/>
      <c r="AL100" s="53"/>
    </row>
    <row r="101" spans="3:38" ht="21" customHeight="1" x14ac:dyDescent="0.2">
      <c r="L101" s="53"/>
      <c r="M101" s="54"/>
      <c r="N101" s="54"/>
      <c r="O101" s="54"/>
      <c r="P101" s="55" t="str" cm="1">
        <f t="array" aca="1" ref="P101" ca="1">INDEX(LU_Stars,MOD(ROUNDUP($I$51*RAND(),0),$G$47))</f>
        <v>✩</v>
      </c>
      <c r="Q101" s="54"/>
      <c r="R101" s="54"/>
      <c r="S101" s="54"/>
      <c r="T101" s="56"/>
      <c r="U101" s="56"/>
      <c r="V101" s="56"/>
      <c r="W101" s="56"/>
      <c r="X101" s="56"/>
      <c r="Y101" s="54"/>
      <c r="Z101" s="54"/>
      <c r="AA101" s="54"/>
      <c r="AB101" s="54"/>
      <c r="AC101" s="55" t="str" cm="1">
        <f t="array" aca="1" ref="AC101" ca="1">INDEX(LU_Stars,MOD(ROUNDUP($I$51*RAND(),0),$G$47))</f>
        <v>☆</v>
      </c>
      <c r="AD101" s="54"/>
      <c r="AE101" s="54"/>
      <c r="AF101" s="54"/>
      <c r="AG101" s="55" t="str" cm="1">
        <f t="array" aca="1" ref="AG101" ca="1">INDEX(LU_Stars,MOD(ROUNDUP($I$51*RAND(),0),$G$47))</f>
        <v>✩</v>
      </c>
      <c r="AH101" s="54"/>
      <c r="AI101" s="54"/>
      <c r="AJ101" s="54"/>
      <c r="AK101" s="54"/>
      <c r="AL101" s="53"/>
    </row>
    <row r="102" spans="3:38" ht="21" customHeight="1" x14ac:dyDescent="0.2">
      <c r="L102" s="53"/>
      <c r="M102" s="54"/>
      <c r="N102" s="54"/>
      <c r="O102" s="54"/>
      <c r="P102" s="55"/>
      <c r="Q102" s="54"/>
      <c r="R102" s="54"/>
      <c r="S102" s="54"/>
      <c r="T102" s="56"/>
      <c r="U102" s="56"/>
      <c r="V102" s="56"/>
      <c r="W102" s="56"/>
      <c r="X102" s="56"/>
      <c r="Y102" s="54"/>
      <c r="Z102" s="54"/>
      <c r="AA102" s="54"/>
      <c r="AB102" s="54"/>
      <c r="AC102" s="55"/>
      <c r="AD102" s="54"/>
      <c r="AE102" s="54"/>
      <c r="AF102" s="54"/>
      <c r="AG102" s="55"/>
      <c r="AH102" s="54"/>
      <c r="AI102" s="54"/>
      <c r="AJ102" s="54"/>
      <c r="AK102" s="54"/>
      <c r="AL102" s="53"/>
    </row>
    <row r="103" spans="3:38" ht="21" customHeight="1" x14ac:dyDescent="0.2">
      <c r="L103" s="54"/>
      <c r="M103" s="55" t="str" cm="1">
        <f t="array" aca="1" ref="M103" ca="1">INDEX(LU_Stars,MOD(ROUNDUP($I$51*RAND(),0),$G$47))</f>
        <v>✯</v>
      </c>
      <c r="N103" s="54"/>
      <c r="O103" s="54"/>
      <c r="P103" s="54"/>
      <c r="Q103" s="54"/>
      <c r="R103" s="54"/>
      <c r="S103" s="54"/>
      <c r="T103" s="54"/>
      <c r="U103" s="55" t="str" cm="1">
        <f t="array" aca="1" ref="U103" ca="1">INDEX(LU_Stars,MOD(ROUNDUP($I$51*RAND(),0),$G$47))</f>
        <v>✱</v>
      </c>
      <c r="V103" s="54"/>
      <c r="W103" s="54"/>
      <c r="X103" s="54"/>
      <c r="Y103" s="56"/>
      <c r="Z103" s="56"/>
      <c r="AA103" s="56"/>
      <c r="AB103" s="56"/>
      <c r="AC103" s="56"/>
      <c r="AD103" s="54"/>
      <c r="AE103" s="54"/>
      <c r="AF103" s="54"/>
      <c r="AG103" s="54"/>
      <c r="AH103" s="54"/>
      <c r="AI103" s="54"/>
      <c r="AJ103" s="54"/>
      <c r="AK103" s="55" t="str" cm="1">
        <f t="array" aca="1" ref="AK103" ca="1">INDEX(LU_Stars,MOD(ROUNDUP($I$51*RAND(),0),$G$47))</f>
        <v>✵</v>
      </c>
      <c r="AL103" s="54"/>
    </row>
    <row r="104" spans="3:38" ht="21" customHeight="1" x14ac:dyDescent="0.2">
      <c r="L104" s="54"/>
      <c r="M104" s="55"/>
      <c r="N104" s="54"/>
      <c r="O104" s="54"/>
      <c r="P104" s="54"/>
      <c r="Q104" s="54"/>
      <c r="R104" s="54"/>
      <c r="S104" s="54"/>
      <c r="T104" s="54"/>
      <c r="U104" s="55"/>
      <c r="V104" s="54"/>
      <c r="W104" s="54"/>
      <c r="X104" s="54"/>
      <c r="Y104" s="56"/>
      <c r="Z104" s="56"/>
      <c r="AA104" s="56"/>
      <c r="AB104" s="56"/>
      <c r="AC104" s="56"/>
      <c r="AD104" s="54"/>
      <c r="AE104" s="54"/>
      <c r="AF104" s="54"/>
      <c r="AG104" s="54"/>
      <c r="AH104" s="54"/>
      <c r="AI104" s="54"/>
      <c r="AJ104" s="54"/>
      <c r="AK104" s="55"/>
      <c r="AL104" s="54"/>
    </row>
    <row r="105" spans="3:38" x14ac:dyDescent="0.2">
      <c r="W105" s="49"/>
      <c r="X105" s="49"/>
      <c r="Y105" s="49"/>
      <c r="Z105" s="49"/>
      <c r="AA105" s="49"/>
    </row>
    <row r="106" spans="3:38" x14ac:dyDescent="0.2">
      <c r="W106" s="49"/>
      <c r="X106" s="49"/>
      <c r="Y106" s="49"/>
      <c r="Z106" s="49"/>
      <c r="AA106" s="49"/>
    </row>
    <row r="107" spans="3:38" x14ac:dyDescent="0.2">
      <c r="W107" s="49"/>
      <c r="X107" s="49"/>
      <c r="Y107" s="49"/>
      <c r="Z107" s="49"/>
      <c r="AA107" s="49"/>
    </row>
    <row r="108" spans="3:38" x14ac:dyDescent="0.2">
      <c r="W108" s="49"/>
      <c r="X108" s="49"/>
      <c r="Y108" s="49"/>
      <c r="Z108" s="49"/>
      <c r="AA108" s="49"/>
    </row>
    <row r="111" spans="3:38" ht="16.5" x14ac:dyDescent="0.25">
      <c r="C111" s="3" t="s">
        <v>107</v>
      </c>
    </row>
    <row r="114" spans="12:38" x14ac:dyDescent="0.2">
      <c r="O114" s="51"/>
      <c r="P114" s="51"/>
      <c r="T114" s="51"/>
      <c r="U114" s="51"/>
      <c r="AC114" s="51"/>
      <c r="AD114" s="51"/>
      <c r="AH114" s="51"/>
      <c r="AI114" s="51"/>
    </row>
    <row r="115" spans="12:38" x14ac:dyDescent="0.2">
      <c r="N115" s="51"/>
      <c r="O115" s="50"/>
      <c r="P115" s="50"/>
      <c r="Q115" s="51"/>
      <c r="R115" s="51"/>
      <c r="S115" s="51"/>
      <c r="T115" s="50"/>
      <c r="U115" s="50"/>
      <c r="V115" s="51"/>
      <c r="AB115" s="51"/>
      <c r="AC115" s="50"/>
      <c r="AD115" s="50"/>
      <c r="AE115" s="51"/>
      <c r="AF115" s="51"/>
      <c r="AG115" s="51"/>
      <c r="AH115" s="50"/>
      <c r="AI115" s="50"/>
      <c r="AJ115" s="51"/>
    </row>
    <row r="116" spans="12:38" x14ac:dyDescent="0.2">
      <c r="N116" s="51"/>
      <c r="O116" s="50"/>
      <c r="P116" s="50"/>
      <c r="Q116" s="51"/>
      <c r="R116" s="50"/>
      <c r="S116" s="51"/>
      <c r="T116" s="50"/>
      <c r="U116" s="50"/>
      <c r="V116" s="51"/>
      <c r="AB116" s="51"/>
      <c r="AC116" s="50"/>
      <c r="AD116" s="50"/>
      <c r="AE116" s="51"/>
      <c r="AF116" s="50"/>
      <c r="AG116" s="51"/>
      <c r="AH116" s="50"/>
      <c r="AI116" s="50"/>
      <c r="AJ116" s="51"/>
    </row>
    <row r="117" spans="12:38" x14ac:dyDescent="0.2"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</row>
    <row r="118" spans="12:38" x14ac:dyDescent="0.2">
      <c r="L118" s="51"/>
      <c r="Q118" s="51"/>
      <c r="R118" s="50"/>
      <c r="S118" s="51"/>
      <c r="X118" s="51"/>
      <c r="Z118" s="51"/>
      <c r="AE118" s="51"/>
      <c r="AF118" s="50"/>
      <c r="AG118" s="51"/>
      <c r="AL118" s="51"/>
    </row>
    <row r="119" spans="12:38" x14ac:dyDescent="0.2">
      <c r="L119" s="51"/>
      <c r="Q119" s="51"/>
      <c r="R119" s="50"/>
      <c r="S119" s="51"/>
      <c r="X119" s="51"/>
      <c r="Z119" s="51"/>
      <c r="AE119" s="51"/>
      <c r="AF119" s="50"/>
      <c r="AG119" s="51"/>
      <c r="AL119" s="51"/>
    </row>
    <row r="120" spans="12:38" x14ac:dyDescent="0.2">
      <c r="L120" s="51"/>
      <c r="Q120" s="51"/>
      <c r="R120" s="50"/>
      <c r="S120" s="51"/>
      <c r="X120" s="51"/>
      <c r="Z120" s="51"/>
      <c r="AE120" s="51"/>
      <c r="AF120" s="50"/>
      <c r="AG120" s="51"/>
      <c r="AL120" s="51"/>
    </row>
    <row r="121" spans="12:38" x14ac:dyDescent="0.2">
      <c r="L121" s="51"/>
      <c r="Q121" s="51"/>
      <c r="R121" s="50"/>
      <c r="S121" s="51"/>
      <c r="X121" s="51"/>
      <c r="Z121" s="51"/>
      <c r="AE121" s="51"/>
      <c r="AF121" s="50"/>
      <c r="AG121" s="51"/>
      <c r="AL121" s="51"/>
    </row>
    <row r="122" spans="12:38" x14ac:dyDescent="0.2">
      <c r="L122" s="51"/>
      <c r="Q122" s="51"/>
      <c r="R122" s="50"/>
      <c r="S122" s="51"/>
      <c r="X122" s="51"/>
      <c r="Z122" s="51"/>
      <c r="AE122" s="51"/>
      <c r="AF122" s="50"/>
      <c r="AG122" s="51"/>
      <c r="AL122" s="51"/>
    </row>
    <row r="123" spans="12:38" x14ac:dyDescent="0.2">
      <c r="L123" s="51"/>
      <c r="Q123" s="51"/>
      <c r="R123" s="50"/>
      <c r="S123" s="51"/>
      <c r="X123" s="51"/>
      <c r="Z123" s="51"/>
      <c r="AE123" s="51"/>
      <c r="AF123" s="50"/>
      <c r="AG123" s="51"/>
      <c r="AL123" s="51"/>
    </row>
    <row r="124" spans="12:38" x14ac:dyDescent="0.2">
      <c r="L124" s="51"/>
      <c r="Q124" s="51"/>
      <c r="R124" s="50"/>
      <c r="S124" s="51"/>
      <c r="X124" s="51"/>
      <c r="Z124" s="51"/>
      <c r="AE124" s="51"/>
      <c r="AF124" s="50"/>
      <c r="AG124" s="51"/>
      <c r="AL124" s="51"/>
    </row>
    <row r="125" spans="12:38" x14ac:dyDescent="0.2"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</row>
    <row r="136" spans="54:68" x14ac:dyDescent="0.2">
      <c r="BH136" s="51"/>
      <c r="BI136" s="51"/>
      <c r="BJ136" s="51"/>
      <c r="BK136" s="51"/>
      <c r="BL136" s="51"/>
    </row>
    <row r="137" spans="54:68" x14ac:dyDescent="0.2">
      <c r="BF137" s="51"/>
      <c r="BG137" s="51"/>
      <c r="BH137" s="61"/>
      <c r="BI137" s="61"/>
      <c r="BJ137" s="61"/>
      <c r="BK137" s="62"/>
      <c r="BL137" s="62"/>
      <c r="BM137" s="51"/>
      <c r="BN137" s="51"/>
    </row>
    <row r="138" spans="54:68" x14ac:dyDescent="0.2">
      <c r="BE138" s="51"/>
      <c r="BF138" s="62"/>
      <c r="BG138" s="63"/>
      <c r="BH138" s="63"/>
      <c r="BI138" s="63"/>
      <c r="BJ138" s="64"/>
      <c r="BK138" s="64"/>
      <c r="BL138" s="63"/>
      <c r="BM138" s="63"/>
      <c r="BN138" s="61"/>
      <c r="BO138" s="51"/>
    </row>
    <row r="139" spans="54:68" x14ac:dyDescent="0.2">
      <c r="BD139" s="51"/>
      <c r="BE139" s="62"/>
      <c r="BF139" s="64"/>
      <c r="BG139" s="63"/>
      <c r="BH139" s="63"/>
      <c r="BI139" s="61"/>
      <c r="BJ139" s="62"/>
      <c r="BK139" s="62"/>
      <c r="BL139" s="63"/>
      <c r="BM139" s="63"/>
      <c r="BN139" s="63"/>
      <c r="BO139" s="51"/>
    </row>
    <row r="140" spans="54:68" x14ac:dyDescent="0.2">
      <c r="BC140" s="51"/>
      <c r="BD140" s="63"/>
      <c r="BE140" s="64"/>
      <c r="BF140" s="64"/>
      <c r="BG140" s="62"/>
      <c r="BH140" s="61"/>
      <c r="BI140" s="61"/>
      <c r="BJ140" s="62"/>
      <c r="BK140" s="62"/>
      <c r="BL140" s="61"/>
      <c r="BM140" s="63"/>
      <c r="BN140" s="63"/>
      <c r="BO140" s="61"/>
      <c r="BP140" s="51"/>
    </row>
    <row r="141" spans="54:68" x14ac:dyDescent="0.2">
      <c r="BB141" s="51"/>
      <c r="BC141" s="65"/>
      <c r="BD141" s="65"/>
      <c r="BE141" s="63"/>
      <c r="BF141" s="62"/>
      <c r="BG141" s="62"/>
      <c r="BH141" s="51"/>
      <c r="BI141" s="51"/>
      <c r="BJ141" s="51"/>
      <c r="BK141" s="62"/>
      <c r="BL141" s="61"/>
      <c r="BM141" s="63"/>
      <c r="BN141" s="63"/>
      <c r="BO141" s="61"/>
      <c r="BP141" s="51"/>
    </row>
    <row r="142" spans="54:68" x14ac:dyDescent="0.2">
      <c r="BB142" s="51"/>
      <c r="BC142" s="65"/>
      <c r="BD142" s="65"/>
      <c r="BE142" s="65"/>
      <c r="BF142" s="62"/>
      <c r="BG142" s="51"/>
      <c r="BK142" s="51"/>
      <c r="BL142" s="62"/>
      <c r="BM142" s="64"/>
      <c r="BN142" s="64"/>
      <c r="BO142" s="62"/>
      <c r="BP142" s="51"/>
    </row>
    <row r="143" spans="54:68" x14ac:dyDescent="0.2">
      <c r="BB143" s="51"/>
      <c r="BC143" s="65"/>
      <c r="BD143" s="65"/>
      <c r="BE143" s="65"/>
      <c r="BF143" s="51"/>
      <c r="BK143" s="51"/>
      <c r="BL143" s="64"/>
      <c r="BM143" s="64"/>
      <c r="BN143" s="62"/>
      <c r="BO143" s="62"/>
      <c r="BP143" s="51"/>
    </row>
    <row r="144" spans="54:68" x14ac:dyDescent="0.2">
      <c r="BC144" s="51"/>
      <c r="BD144" s="51"/>
      <c r="BE144" s="51"/>
      <c r="BJ144" s="51"/>
      <c r="BK144" s="61"/>
      <c r="BL144" s="63"/>
      <c r="BM144" s="63"/>
      <c r="BN144" s="61"/>
      <c r="BO144" s="51"/>
    </row>
    <row r="145" spans="50:67" x14ac:dyDescent="0.2">
      <c r="BI145" s="51"/>
      <c r="BJ145" s="62"/>
      <c r="BK145" s="63"/>
      <c r="BL145" s="63"/>
      <c r="BM145" s="61"/>
      <c r="BN145" s="61"/>
      <c r="BO145" s="51"/>
    </row>
    <row r="146" spans="50:67" x14ac:dyDescent="0.2">
      <c r="BH146" s="51"/>
      <c r="BI146" s="62"/>
      <c r="BJ146" s="64"/>
      <c r="BK146" s="63"/>
      <c r="BL146" s="61"/>
      <c r="BM146" s="61"/>
      <c r="BN146" s="51"/>
    </row>
    <row r="147" spans="50:67" x14ac:dyDescent="0.2">
      <c r="BG147" s="51"/>
      <c r="BH147" s="61"/>
      <c r="BI147" s="64"/>
      <c r="BJ147" s="64"/>
      <c r="BK147" s="62"/>
      <c r="BL147" s="61"/>
      <c r="BM147" s="51"/>
    </row>
    <row r="148" spans="50:67" x14ac:dyDescent="0.2">
      <c r="BF148" s="51"/>
      <c r="BG148" s="61"/>
      <c r="BH148" s="63"/>
      <c r="BI148" s="63"/>
      <c r="BJ148" s="62"/>
      <c r="BK148" s="62"/>
      <c r="BL148" s="51"/>
    </row>
    <row r="149" spans="50:67" x14ac:dyDescent="0.2">
      <c r="BE149" s="51"/>
      <c r="BF149" s="62"/>
      <c r="BG149" s="63"/>
      <c r="BH149" s="63"/>
      <c r="BI149" s="61"/>
      <c r="BJ149" s="62"/>
      <c r="BK149" s="51"/>
    </row>
    <row r="150" spans="50:67" x14ac:dyDescent="0.2">
      <c r="BD150" s="51"/>
      <c r="BE150" s="62"/>
      <c r="BF150" s="64"/>
      <c r="BG150" s="63"/>
      <c r="BH150" s="61"/>
      <c r="BI150" s="61"/>
      <c r="BJ150" s="51"/>
    </row>
    <row r="151" spans="50:67" x14ac:dyDescent="0.2">
      <c r="BC151" s="51"/>
      <c r="BD151" s="61"/>
      <c r="BE151" s="64"/>
      <c r="BF151" s="64"/>
      <c r="BG151" s="62"/>
      <c r="BH151" s="61"/>
      <c r="BI151" s="51"/>
    </row>
    <row r="152" spans="50:67" x14ac:dyDescent="0.2">
      <c r="BB152" s="51"/>
      <c r="BC152" s="61"/>
      <c r="BD152" s="63"/>
      <c r="BE152" s="63"/>
      <c r="BF152" s="62"/>
      <c r="BG152" s="62"/>
      <c r="BH152" s="51"/>
    </row>
    <row r="153" spans="50:67" x14ac:dyDescent="0.2">
      <c r="BA153" s="51"/>
      <c r="BB153" s="62"/>
      <c r="BC153" s="63"/>
      <c r="BD153" s="63"/>
      <c r="BE153" s="61"/>
      <c r="BF153" s="62"/>
      <c r="BG153" s="51"/>
    </row>
    <row r="154" spans="50:67" x14ac:dyDescent="0.2">
      <c r="AZ154" s="51"/>
      <c r="BA154" s="62"/>
      <c r="BB154" s="64"/>
      <c r="BC154" s="63"/>
      <c r="BD154" s="61"/>
      <c r="BE154" s="61"/>
      <c r="BF154" s="51"/>
    </row>
    <row r="155" spans="50:67" x14ac:dyDescent="0.2">
      <c r="AY155" s="51"/>
      <c r="AZ155" s="61"/>
      <c r="BA155" s="64"/>
      <c r="BB155" s="64"/>
      <c r="BC155" s="62"/>
      <c r="BD155" s="61"/>
      <c r="BE155" s="51"/>
    </row>
    <row r="156" spans="50:67" x14ac:dyDescent="0.2">
      <c r="AX156" s="51"/>
      <c r="AY156" s="65"/>
      <c r="AZ156" s="65"/>
      <c r="BA156" s="63"/>
      <c r="BB156" s="62"/>
      <c r="BC156" s="62"/>
      <c r="BD156" s="51"/>
    </row>
    <row r="157" spans="50:67" x14ac:dyDescent="0.2">
      <c r="AX157" s="51"/>
      <c r="AY157" s="65"/>
      <c r="AZ157" s="65"/>
      <c r="BA157" s="65"/>
      <c r="BB157" s="62"/>
      <c r="BC157" s="51"/>
    </row>
    <row r="158" spans="50:67" x14ac:dyDescent="0.2">
      <c r="AX158" s="51"/>
      <c r="AY158" s="65"/>
      <c r="AZ158" s="65"/>
      <c r="BA158" s="65"/>
      <c r="BB158" s="51"/>
    </row>
    <row r="159" spans="50:67" x14ac:dyDescent="0.2">
      <c r="AY159" s="51"/>
      <c r="AZ159" s="51"/>
      <c r="BA159" s="51"/>
    </row>
    <row r="162" spans="50:64" x14ac:dyDescent="0.2">
      <c r="BB162" s="51"/>
      <c r="BC162" s="51"/>
      <c r="BD162" s="51"/>
      <c r="BE162" s="51"/>
      <c r="BF162" s="51"/>
    </row>
    <row r="163" spans="50:64" x14ac:dyDescent="0.2">
      <c r="AZ163" s="51"/>
      <c r="BA163" s="51"/>
      <c r="BB163" s="62"/>
      <c r="BC163" s="62"/>
      <c r="BD163" s="61"/>
      <c r="BE163" s="61"/>
      <c r="BF163" s="61"/>
      <c r="BG163" s="51"/>
      <c r="BH163" s="51"/>
    </row>
    <row r="164" spans="50:64" x14ac:dyDescent="0.2">
      <c r="AY164" s="51"/>
      <c r="AZ164" s="61"/>
      <c r="BA164" s="63"/>
      <c r="BB164" s="63"/>
      <c r="BC164" s="64"/>
      <c r="BD164" s="64"/>
      <c r="BE164" s="63"/>
      <c r="BF164" s="63"/>
      <c r="BG164" s="63"/>
      <c r="BH164" s="62"/>
      <c r="BI164" s="51"/>
    </row>
    <row r="165" spans="50:64" x14ac:dyDescent="0.2">
      <c r="AY165" s="51"/>
      <c r="AZ165" s="63"/>
      <c r="BA165" s="63"/>
      <c r="BB165" s="63"/>
      <c r="BC165" s="62"/>
      <c r="BD165" s="62"/>
      <c r="BE165" s="61"/>
      <c r="BF165" s="63"/>
      <c r="BG165" s="63"/>
      <c r="BH165" s="64"/>
      <c r="BI165" s="62"/>
      <c r="BJ165" s="51"/>
    </row>
    <row r="166" spans="50:64" x14ac:dyDescent="0.2">
      <c r="AX166" s="51"/>
      <c r="AY166" s="61"/>
      <c r="AZ166" s="63"/>
      <c r="BA166" s="63"/>
      <c r="BB166" s="61"/>
      <c r="BC166" s="62"/>
      <c r="BD166" s="62"/>
      <c r="BE166" s="61"/>
      <c r="BF166" s="61"/>
      <c r="BG166" s="62"/>
      <c r="BH166" s="64"/>
      <c r="BI166" s="64"/>
      <c r="BJ166" s="63"/>
      <c r="BK166" s="51"/>
    </row>
    <row r="167" spans="50:64" x14ac:dyDescent="0.2">
      <c r="AX167" s="51"/>
      <c r="AY167" s="61"/>
      <c r="AZ167" s="63"/>
      <c r="BA167" s="63"/>
      <c r="BB167" s="61"/>
      <c r="BC167" s="62"/>
      <c r="BD167" s="51"/>
      <c r="BE167" s="51"/>
      <c r="BF167" s="51"/>
      <c r="BG167" s="62"/>
      <c r="BH167" s="62"/>
      <c r="BI167" s="63"/>
      <c r="BJ167" s="65"/>
      <c r="BK167" s="65"/>
      <c r="BL167" s="51"/>
    </row>
    <row r="168" spans="50:64" x14ac:dyDescent="0.2">
      <c r="AX168" s="51"/>
      <c r="AY168" s="62"/>
      <c r="AZ168" s="64"/>
      <c r="BA168" s="64"/>
      <c r="BB168" s="62"/>
      <c r="BC168" s="51"/>
      <c r="BG168" s="51"/>
      <c r="BH168" s="62"/>
      <c r="BI168" s="65"/>
      <c r="BJ168" s="65"/>
      <c r="BK168" s="65"/>
      <c r="BL168" s="51"/>
    </row>
    <row r="169" spans="50:64" x14ac:dyDescent="0.2">
      <c r="AX169" s="51"/>
      <c r="AY169" s="62"/>
      <c r="AZ169" s="62"/>
      <c r="BA169" s="64"/>
      <c r="BB169" s="64"/>
      <c r="BC169" s="51"/>
      <c r="BH169" s="51"/>
      <c r="BI169" s="65"/>
      <c r="BJ169" s="65"/>
      <c r="BK169" s="65"/>
      <c r="BL169" s="51"/>
    </row>
    <row r="170" spans="50:64" x14ac:dyDescent="0.2">
      <c r="AY170" s="51"/>
      <c r="AZ170" s="61"/>
      <c r="BA170" s="63"/>
      <c r="BB170" s="63"/>
      <c r="BC170" s="61"/>
      <c r="BD170" s="51"/>
      <c r="BI170" s="51"/>
      <c r="BJ170" s="51"/>
      <c r="BK170" s="51"/>
    </row>
    <row r="171" spans="50:64" x14ac:dyDescent="0.2">
      <c r="AY171" s="51"/>
      <c r="AZ171" s="61"/>
      <c r="BA171" s="61"/>
      <c r="BB171" s="63"/>
      <c r="BC171" s="63"/>
      <c r="BD171" s="62"/>
      <c r="BE171" s="51"/>
    </row>
    <row r="172" spans="50:64" x14ac:dyDescent="0.2">
      <c r="AZ172" s="51"/>
      <c r="BA172" s="61"/>
      <c r="BB172" s="61"/>
      <c r="BC172" s="63"/>
      <c r="BD172" s="64"/>
      <c r="BE172" s="62"/>
      <c r="BF172" s="51"/>
    </row>
    <row r="173" spans="50:64" x14ac:dyDescent="0.2">
      <c r="BA173" s="51"/>
      <c r="BB173" s="61"/>
      <c r="BC173" s="62"/>
      <c r="BD173" s="64"/>
      <c r="BE173" s="64"/>
      <c r="BF173" s="61"/>
      <c r="BG173" s="51"/>
    </row>
    <row r="174" spans="50:64" x14ac:dyDescent="0.2">
      <c r="BB174" s="51"/>
      <c r="BC174" s="62"/>
      <c r="BD174" s="62"/>
      <c r="BE174" s="63"/>
      <c r="BF174" s="63"/>
      <c r="BG174" s="61"/>
      <c r="BH174" s="51"/>
    </row>
    <row r="175" spans="50:64" x14ac:dyDescent="0.2">
      <c r="BC175" s="51"/>
      <c r="BD175" s="62"/>
      <c r="BE175" s="61"/>
      <c r="BF175" s="63"/>
      <c r="BG175" s="63"/>
      <c r="BH175" s="62"/>
      <c r="BI175" s="51"/>
    </row>
    <row r="176" spans="50:64" x14ac:dyDescent="0.2">
      <c r="BD176" s="51"/>
      <c r="BE176" s="61"/>
      <c r="BF176" s="61"/>
      <c r="BG176" s="63"/>
      <c r="BH176" s="64"/>
      <c r="BI176" s="62"/>
      <c r="BJ176" s="51"/>
    </row>
    <row r="177" spans="57:68" x14ac:dyDescent="0.2">
      <c r="BE177" s="51"/>
      <c r="BF177" s="61"/>
      <c r="BG177" s="62"/>
      <c r="BH177" s="64"/>
      <c r="BI177" s="64"/>
      <c r="BJ177" s="61"/>
      <c r="BK177" s="51"/>
    </row>
    <row r="178" spans="57:68" x14ac:dyDescent="0.2">
      <c r="BF178" s="51"/>
      <c r="BG178" s="62"/>
      <c r="BH178" s="62"/>
      <c r="BI178" s="63"/>
      <c r="BJ178" s="63"/>
      <c r="BK178" s="61"/>
      <c r="BL178" s="51"/>
    </row>
    <row r="179" spans="57:68" x14ac:dyDescent="0.2">
      <c r="BG179" s="51"/>
      <c r="BH179" s="62"/>
      <c r="BI179" s="61"/>
      <c r="BJ179" s="63"/>
      <c r="BK179" s="63"/>
      <c r="BL179" s="62"/>
      <c r="BM179" s="51"/>
    </row>
    <row r="180" spans="57:68" x14ac:dyDescent="0.2">
      <c r="BH180" s="51"/>
      <c r="BI180" s="61"/>
      <c r="BJ180" s="61"/>
      <c r="BK180" s="63"/>
      <c r="BL180" s="64"/>
      <c r="BM180" s="62"/>
      <c r="BN180" s="51"/>
    </row>
    <row r="181" spans="57:68" x14ac:dyDescent="0.2">
      <c r="BI181" s="51"/>
      <c r="BJ181" s="61"/>
      <c r="BK181" s="62"/>
      <c r="BL181" s="64"/>
      <c r="BM181" s="64"/>
      <c r="BN181" s="61"/>
      <c r="BO181" s="51"/>
    </row>
    <row r="182" spans="57:68" x14ac:dyDescent="0.2">
      <c r="BJ182" s="51"/>
      <c r="BK182" s="62"/>
      <c r="BL182" s="62"/>
      <c r="BM182" s="63"/>
      <c r="BN182" s="65"/>
      <c r="BO182" s="65"/>
      <c r="BP182" s="51"/>
    </row>
    <row r="183" spans="57:68" x14ac:dyDescent="0.2">
      <c r="BK183" s="51"/>
      <c r="BL183" s="62"/>
      <c r="BM183" s="65"/>
      <c r="BN183" s="65"/>
      <c r="BO183" s="65"/>
      <c r="BP183" s="51"/>
    </row>
    <row r="184" spans="57:68" x14ac:dyDescent="0.2">
      <c r="BL184" s="51"/>
      <c r="BM184" s="65"/>
      <c r="BN184" s="65"/>
      <c r="BO184" s="65"/>
      <c r="BP184" s="51"/>
    </row>
    <row r="185" spans="57:68" x14ac:dyDescent="0.2">
      <c r="BM185" s="51"/>
      <c r="BN185" s="51"/>
      <c r="BO185" s="51"/>
    </row>
  </sheetData>
  <mergeCells count="1">
    <mergeCell ref="A3:E3"/>
  </mergeCells>
  <conditionalFormatting sqref="F4">
    <cfRule type="cellIs" dxfId="29" priority="81" operator="notEqual">
      <formula>0</formula>
    </cfRule>
  </conditionalFormatting>
  <conditionalFormatting sqref="AG101:AG102 X79:X80 AA81:AA82 U85:U86 Y85:Y86 AC87:AC88 T89:T90 X89:X90 AB91:AB92 U93:U94 Z93:Z94 AG93:AG94 R95:R96 AD95:AD96 X97:X98 AH97:AH98 U99:U100 AA99:AA100 P101:P102 AC101:AC102 M103:M104 U103:U104 AK103:AK104">
    <cfRule type="expression" dxfId="28" priority="82">
      <formula>$I$56=5</formula>
    </cfRule>
    <cfRule type="expression" dxfId="27" priority="83">
      <formula>$I$56=4</formula>
    </cfRule>
    <cfRule type="expression" dxfId="26" priority="84">
      <formula>$I$56=3</formula>
    </cfRule>
    <cfRule type="expression" dxfId="25" priority="85">
      <formula>$I$56=2</formula>
    </cfRule>
    <cfRule type="expression" dxfId="24" priority="86">
      <formula>$I$56=1</formula>
    </cfRule>
  </conditionalFormatting>
  <conditionalFormatting sqref="Y103:AC104 T101:X102 Q99:S100 O97:P98 R91:R92 S93:T94 U95:Z96 AA93:AC94 AD91:AD92 AE89:AE90 Z85:AC86 X83:Y84 W81:W82 O115:P116 R116 T115:U116 R118:R124">
    <cfRule type="expression" dxfId="23" priority="197">
      <formula>$I$56=5</formula>
    </cfRule>
    <cfRule type="expression" dxfId="22" priority="198">
      <formula>$I$56=4</formula>
    </cfRule>
    <cfRule type="expression" dxfId="21" priority="199">
      <formula>$I$56=3</formula>
    </cfRule>
    <cfRule type="expression" dxfId="20" priority="200">
      <formula>$I$56=2</formula>
    </cfRule>
    <cfRule type="expression" dxfId="19" priority="201">
      <formula>$I$56=1</formula>
    </cfRule>
  </conditionalFormatting>
  <conditionalFormatting sqref="M118:P124 T118:W124">
    <cfRule type="expression" dxfId="18" priority="282">
      <formula>$I$56=2</formula>
    </cfRule>
    <cfRule type="expression" dxfId="17" priority="283">
      <formula>$I$56=3</formula>
    </cfRule>
    <cfRule type="expression" dxfId="16" priority="284">
      <formula>$I$56=4</formula>
    </cfRule>
    <cfRule type="expression" dxfId="15" priority="285">
      <formula>$I$56=5</formula>
    </cfRule>
  </conditionalFormatting>
  <conditionalFormatting sqref="AF118:AF124 AC115:AD116 AF116 AH115:AI116">
    <cfRule type="expression" dxfId="14" priority="290">
      <formula>$I$56=1</formula>
    </cfRule>
    <cfRule type="expression" dxfId="13" priority="291">
      <formula>$I$56=5</formula>
    </cfRule>
    <cfRule type="expression" dxfId="12" priority="292">
      <formula>$I$56=4</formula>
    </cfRule>
    <cfRule type="expression" dxfId="11" priority="293">
      <formula>$I$56=3</formula>
    </cfRule>
    <cfRule type="expression" dxfId="10" priority="294">
      <formula>$I$56=2</formula>
    </cfRule>
  </conditionalFormatting>
  <conditionalFormatting sqref="AA118:AD124 AH118:AK124">
    <cfRule type="expression" dxfId="9" priority="295">
      <formula>$I$56=5</formula>
    </cfRule>
    <cfRule type="expression" dxfId="8" priority="296">
      <formula>$I$56=1</formula>
    </cfRule>
    <cfRule type="expression" dxfId="7" priority="297">
      <formula>$I$56=2</formula>
    </cfRule>
    <cfRule type="expression" dxfId="6" priority="298">
      <formula>$I$56=3</formula>
    </cfRule>
    <cfRule type="expression" dxfId="5" priority="299">
      <formula>$I$56=4</formula>
    </cfRule>
  </conditionalFormatting>
  <conditionalFormatting sqref="T118:W124 M118:P124">
    <cfRule type="expression" dxfId="4" priority="320">
      <formula>$I$56=1</formula>
    </cfRule>
  </conditionalFormatting>
  <hyperlinks>
    <hyperlink ref="F4" location="Overall_Error_Check" tooltip="Go to Overall Error Check" display="Overall_Error_Check" xr:uid="{B7E13F95-3614-4D1C-969B-172621B948FC}"/>
    <hyperlink ref="A3:E3" location="HL_Navigator" tooltip="Go to Navigator (Table of Contents)" display="Navigator" xr:uid="{24FBB19A-AF13-4CC6-9AE0-1A0A0F9138BF}"/>
    <hyperlink ref="A3" location="HL_Navigator" display="Navigator" xr:uid="{B969ACF1-FE96-44FE-A598-0D7F139171E7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/>
  </sheetPr>
  <dimension ref="A1:R19"/>
  <sheetViews>
    <sheetView showGridLines="0" workbookViewId="0">
      <pane ySplit="4" topLeftCell="A5" activePane="bottomLeft" state="frozen"/>
      <selection activeCell="I28" sqref="I28"/>
      <selection pane="bottomLeft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Error Checks</v>
      </c>
    </row>
    <row r="2" spans="1:11" ht="18" x14ac:dyDescent="0.25">
      <c r="A2" s="41" t="str">
        <f ca="1">Model_Name</f>
        <v>SP-ChristmasTree.xlsm</v>
      </c>
    </row>
    <row r="3" spans="1:11" x14ac:dyDescent="0.2">
      <c r="A3" s="67" t="s">
        <v>1</v>
      </c>
      <c r="B3" s="67"/>
      <c r="C3" s="67"/>
      <c r="D3" s="67"/>
      <c r="E3" s="67"/>
    </row>
    <row r="4" spans="1:11" ht="14.25" x14ac:dyDescent="0.2">
      <c r="B4" t="s">
        <v>2</v>
      </c>
      <c r="F4" s="1">
        <f>Overall_Error_Check</f>
        <v>0</v>
      </c>
    </row>
    <row r="5" spans="1:11" x14ac:dyDescent="0.2">
      <c r="A5" s="11"/>
    </row>
    <row r="6" spans="1:11" ht="16.5" thickBot="1" x14ac:dyDescent="0.3">
      <c r="B6" s="42">
        <f>MAX($B$5:$B5)+1</f>
        <v>1</v>
      </c>
      <c r="C6" s="2" t="s">
        <v>64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65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66</v>
      </c>
    </row>
    <row r="11" spans="1:11" outlineLevel="1" x14ac:dyDescent="0.2"/>
    <row r="12" spans="1:11" ht="14.25" outlineLevel="1" x14ac:dyDescent="0.2">
      <c r="E12" t="s">
        <v>67</v>
      </c>
      <c r="I12" s="37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11" ht="15" outlineLevel="1" x14ac:dyDescent="0.25">
      <c r="E17" s="4" t="str">
        <f>C8</f>
        <v>Summary of Errors</v>
      </c>
      <c r="I17" s="1">
        <f>MIN(1,SUM(I11:I15))</f>
        <v>0</v>
      </c>
      <c r="K17" s="11"/>
    </row>
    <row r="18" spans="5:11" outlineLevel="1" x14ac:dyDescent="0.2"/>
    <row r="19" spans="5:11" outlineLevel="1" x14ac:dyDescent="0.2"/>
  </sheetData>
  <mergeCells count="1">
    <mergeCell ref="A3:E3"/>
  </mergeCells>
  <conditionalFormatting sqref="I17">
    <cfRule type="cellIs" dxfId="3" priority="5" operator="notEqual">
      <formula>0</formula>
    </cfRule>
  </conditionalFormatting>
  <conditionalFormatting sqref="I12">
    <cfRule type="cellIs" dxfId="2" priority="4" operator="notEqual">
      <formula>0</formula>
    </cfRule>
  </conditionalFormatting>
  <conditionalFormatting sqref="I12">
    <cfRule type="cellIs" dxfId="1" priority="3" operator="notEqual">
      <formula>0</formula>
    </cfRule>
  </conditionalFormatting>
  <conditionalFormatting sqref="F4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9" ma:contentTypeDescription="Create a new document." ma:contentTypeScope="" ma:versionID="da1a99c84e6ca064da3860da31b610ca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168be74465772cdbbabb929fe3ff3b3c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4E4C38-BF52-4BF4-B7C4-8E4875C370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619791-D556-4F22-833E-9B506B249334}">
  <ds:schemaRefs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ff58d06b-05e3-4c65-85ba-22cd93c7683f"/>
    <ds:schemaRef ds:uri="http://www.w3.org/XML/1998/namespace"/>
    <ds:schemaRef ds:uri="ac914b5e-6dd4-4de9-b905-57df3d54023d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CEB6FE5-8F70-4AFA-897E-6369932821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27</vt:i4>
      </vt:variant>
    </vt:vector>
  </HeadingPairs>
  <TitlesOfParts>
    <vt:vector size="33" baseType="lpstr">
      <vt:lpstr>Cover</vt:lpstr>
      <vt:lpstr>Navigator</vt:lpstr>
      <vt:lpstr>Style Guide</vt:lpstr>
      <vt:lpstr>Model Parameters</vt:lpstr>
      <vt:lpstr>Christmas Trees</vt:lpstr>
      <vt:lpstr>Error Checks</vt:lpstr>
      <vt:lpstr>Christmas_Tree</vt:lpstr>
      <vt:lpstr>Client_Name</vt:lpstr>
      <vt:lpstr>Days_in_Year</vt:lpstr>
      <vt:lpstr>HL_1</vt:lpstr>
      <vt:lpstr>HL_3</vt:lpstr>
      <vt:lpstr>HL_4</vt:lpstr>
      <vt:lpstr>HL_6</vt:lpstr>
      <vt:lpstr>HL_7</vt:lpstr>
      <vt:lpstr>HL_8</vt:lpstr>
      <vt:lpstr>HL_Model_Parameters</vt:lpstr>
      <vt:lpstr>HL_Navigator</vt:lpstr>
      <vt:lpstr>LU_Stars</vt:lpstr>
      <vt:lpstr>Model_Name</vt:lpstr>
      <vt:lpstr>Months_in_Half_Yr</vt:lpstr>
      <vt:lpstr>Months_in_Month</vt:lpstr>
      <vt:lpstr>Months_in_Qtr</vt:lpstr>
      <vt:lpstr>Months_in_Year</vt:lpstr>
      <vt:lpstr>Overall_Error_Check</vt:lpstr>
      <vt:lpstr>Present_Box_1</vt:lpstr>
      <vt:lpstr>Present_Box_2</vt:lpstr>
      <vt:lpstr>Quarters_in_Year</vt:lpstr>
      <vt:lpstr>Rounding_Accuracy</vt:lpstr>
      <vt:lpstr>Text_Swtich_1</vt:lpstr>
      <vt:lpstr>Text_Swtich_2</vt:lpstr>
      <vt:lpstr>Thousand</vt:lpstr>
      <vt:lpstr>Very_Large_Number</vt:lpstr>
      <vt:lpstr>Very_Small_Number</vt:lpstr>
    </vt:vector>
  </TitlesOfParts>
  <Company>SumProduct Pty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</dc:creator>
  <cp:lastModifiedBy>Sam Ngo</cp:lastModifiedBy>
  <dcterms:created xsi:type="dcterms:W3CDTF">2012-10-20T20:39:47Z</dcterms:created>
  <dcterms:modified xsi:type="dcterms:W3CDTF">2026-03-10T01:42:35Z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