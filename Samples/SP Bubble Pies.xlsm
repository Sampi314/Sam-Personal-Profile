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General/Sam/Research/Chart Development/Excel/Bubble Pies/"/>
    </mc:Choice>
  </mc:AlternateContent>
  <xr:revisionPtr revIDLastSave="1814" documentId="8_{283501DE-4061-4BF8-B6CE-15B4429E8278}" xr6:coauthVersionLast="47" xr6:coauthVersionMax="47" xr10:uidLastSave="{48A0DA42-0E1D-4BEE-A0B6-00B171282096}"/>
  <bookViews>
    <workbookView xWindow="28680" yWindow="-120" windowWidth="29040" windowHeight="15720" activeTab="6" xr2:uid="{00000000-000D-0000-FFFF-FFFF00000000}"/>
  </bookViews>
  <sheets>
    <sheet name="Cover" sheetId="1" r:id="rId1"/>
    <sheet name="Navigator" sheetId="3" r:id="rId2"/>
    <sheet name="Style Guide" sheetId="4" r:id="rId3"/>
    <sheet name="Model Parameters" sheetId="2" r:id="rId4"/>
    <sheet name="Timing" sheetId="6" r:id="rId5"/>
    <sheet name="Error Checks" sheetId="5" r:id="rId6"/>
    <sheet name="Bubble Pies" sheetId="9" r:id="rId7"/>
  </sheets>
  <definedNames>
    <definedName name="Client_Name">'Model Parameters'!$G$12</definedName>
    <definedName name="Days_in_Year">'Model Parameters'!$G$19</definedName>
    <definedName name="Example_Reporting_Month">Timing!$H$19</definedName>
    <definedName name="HL_1">Cover!$A$3</definedName>
    <definedName name="HL_3">'Style Guide'!$A$3</definedName>
    <definedName name="HL_4">'Model Parameters'!$A$3</definedName>
    <definedName name="HL_5">Timing!$A$3</definedName>
    <definedName name="HL_6">'Error Checks'!$A$3</definedName>
    <definedName name="HL_7">'Bubble Pies'!$A$3</definedName>
    <definedName name="HL_Model_Parameters">'Model Parameters'!$A$5</definedName>
    <definedName name="HL_Navigator">Navigator!$A$1</definedName>
    <definedName name="Model_Name">'Model Parameters'!$G$11</definedName>
    <definedName name="Model_Start_Date">Timing!$H$15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Year">'Model Parameters'!$G$23</definedName>
    <definedName name="Overall_Error_Check">'Error Checks'!$I$17</definedName>
    <definedName name="Periodicity">Timing!$H$17</definedName>
    <definedName name="Quarters_in_Year">'Model Parameters'!$G$24</definedName>
    <definedName name="Reporting_Month_Factor">Timing!$H$21</definedName>
    <definedName name="Rounding_Accuracy">'Model Parameters'!$G$26</definedName>
    <definedName name="Thousand">'Model Parameters'!$G$31</definedName>
    <definedName name="Very_Large_Number">'Model Parameters'!$G$28</definedName>
    <definedName name="Very_Small_Number">'Model Parameters'!$G$29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" i="9" l="1"/>
  <c r="L10" i="9"/>
  <c r="M10" i="9"/>
  <c r="K11" i="9"/>
  <c r="L11" i="9"/>
  <c r="M11" i="9"/>
  <c r="K12" i="9"/>
  <c r="L12" i="9"/>
  <c r="M12" i="9"/>
  <c r="K13" i="9"/>
  <c r="L13" i="9"/>
  <c r="M13" i="9"/>
  <c r="K14" i="9"/>
  <c r="L14" i="9"/>
  <c r="M14" i="9"/>
  <c r="K15" i="9"/>
  <c r="L15" i="9"/>
  <c r="M15" i="9"/>
  <c r="L9" i="9"/>
  <c r="M9" i="9"/>
  <c r="K9" i="9"/>
  <c r="B6" i="9"/>
  <c r="A1" i="9"/>
  <c r="C6" i="9" s="1"/>
  <c r="D44" i="9" a="1"/>
  <c r="D44" i="9" l="1"/>
  <c r="J9" i="6"/>
  <c r="K9" i="6" s="1"/>
  <c r="L9" i="6" s="1"/>
  <c r="M9" i="6" s="1"/>
  <c r="H21" i="6"/>
  <c r="H15" i="6"/>
  <c r="I19" i="6" s="1"/>
  <c r="D45" i="9" a="1"/>
  <c r="D45" i="9" l="1"/>
  <c r="N9" i="6"/>
  <c r="J6" i="6"/>
  <c r="J7" i="6" s="1"/>
  <c r="D46" i="9" a="1"/>
  <c r="D46" i="9" l="1"/>
  <c r="E46" i="9" a="1"/>
  <c r="E46" i="9" s="1"/>
  <c r="J5" i="6"/>
  <c r="K6" i="6"/>
  <c r="K7" i="6" s="1"/>
  <c r="K5" i="6" l="1"/>
  <c r="L6" i="6"/>
  <c r="L7" i="6" s="1"/>
  <c r="L5" i="6" l="1"/>
  <c r="M6" i="6"/>
  <c r="M7" i="6" s="1"/>
  <c r="M5" i="6" l="1"/>
  <c r="N6" i="6"/>
  <c r="N7" i="6" s="1"/>
  <c r="N5" i="6" s="1"/>
  <c r="B11" i="6" l="1"/>
  <c r="A1" i="6"/>
  <c r="A1" i="5" l="1"/>
  <c r="I37" i="4" l="1"/>
  <c r="A1" i="2" l="1"/>
  <c r="E17" i="5"/>
  <c r="I17" i="5"/>
  <c r="F4" i="9" s="1"/>
  <c r="B6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G11" i="2"/>
  <c r="B6" i="2"/>
  <c r="B15" i="2" s="1"/>
  <c r="F4" i="5" l="1"/>
  <c r="I4" i="2"/>
  <c r="A2" i="9"/>
  <c r="G4" i="3"/>
  <c r="F4" i="6"/>
  <c r="A2" i="6"/>
  <c r="I4" i="4"/>
  <c r="A2" i="2"/>
  <c r="A2" i="5"/>
  <c r="B56" i="4"/>
  <c r="A2" i="4"/>
  <c r="A2" i="3"/>
  <c r="C6" i="1"/>
  <c r="J8" i="6"/>
  <c r="K8" i="6"/>
  <c r="L8" i="6"/>
  <c r="M8" i="6"/>
  <c r="N8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1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 xml:space="preserve">import matplotlib.pyplot as plt
import numpy as np
from mpl_toolkits.axes_grid1.inset_locator import inset_axes
</code>
    </pythonScript>
    <pythonScript>
      <code xml:space="preserve">categories = xl(%P2%).values.flatten()
positions = np.array(xl(%P3%).values)
sizes = np.array(xl(%P4%).values).flatten()
data_proportions = xl(%P5%).values
</code>
    </pythonScript>
    <pythonScript>
      <code xml:space="preserve"># Create the plot
fig, ax = plt.subplots()
# Plot each bubble pie
for (x, y), size, proportions in zip(positions, sizes, data_proportions):
    # Normalize proportions
    total = sum(proportions)
    shares = [p / total for p in proportions]
    # Create an inset axis at the bubble position
    axins = inset_axes(ax, width=size, height=size, loc='center',
                       bbox_to_anchor=(x, y),
                       bbox_transform=ax.transData,
                       borderpad=0)
    # Plot the pie chart
    axins.pie(shares, labels=categories)
    axins.axis('off')
    ax.axis('off')
plt.show()
</code>
    </pythonScript>
  </pythonScripts>
</python>
</file>

<file path=xl/sharedStrings.xml><?xml version="1.0" encoding="utf-8"?>
<sst xmlns="http://schemas.openxmlformats.org/spreadsheetml/2006/main" count="132" uniqueCount="101">
  <si>
    <t>Model Parameters</t>
  </si>
  <si>
    <t>Navigator</t>
  </si>
  <si>
    <t>Error Checks:</t>
  </si>
  <si>
    <t>General</t>
  </si>
  <si>
    <t>Key Inputs</t>
  </si>
  <si>
    <t>Model Name</t>
  </si>
  <si>
    <t>Client Name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</si>
  <si>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</si>
  <si>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</si>
  <si>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</si>
  <si>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</si>
  <si>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</si>
  <si>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</si>
  <si>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</si>
  <si>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</si>
  <si>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</si>
  <si>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</si>
  <si>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</si>
  <si>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</si>
  <si>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General Cover Notes:</t>
  </si>
  <si>
    <t>Any queries, please e-mail:</t>
  </si>
  <si>
    <t>Website:</t>
  </si>
  <si>
    <t>www.sumproduct.com</t>
  </si>
  <si>
    <t>Table of Contents</t>
  </si>
  <si>
    <t>Cover</t>
  </si>
  <si>
    <t>Style Guide</t>
  </si>
  <si>
    <t>Formatting of Headers / Dividers</t>
  </si>
  <si>
    <t>Description</t>
  </si>
  <si>
    <t>Display</t>
  </si>
  <si>
    <t>Style Name</t>
  </si>
  <si>
    <t>Sheet Title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</si>
  <si>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</si>
  <si>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</si>
  <si>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</si>
  <si>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</si>
  <si>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</si>
  <si>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</si>
  <si>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</si>
  <si>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</si>
  <si>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</si>
  <si>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</si>
  <si>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</si>
  <si>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</si>
  <si>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</si>
  <si>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</si>
  <si>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</si>
  <si>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</si>
  <si>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</si>
  <si>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</si>
  <si>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</si>
  <si>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</si>
  <si>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</si>
  <si>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</si>
  <si>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</si>
  <si>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</si>
  <si>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</si>
  <si>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</si>
  <si>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</si>
  <si>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</si>
  <si>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</si>
  <si>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</si>
  <si>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</si>
  <si>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</si>
  <si>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</si>
  <si>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Error Checks</t>
  </si>
  <si>
    <t>Summary of Errors</t>
  </si>
  <si>
    <t>Assumptions</t>
  </si>
  <si>
    <t>Example</t>
  </si>
  <si>
    <t>A$</t>
  </si>
  <si>
    <t>Timing</t>
  </si>
  <si>
    <t>Start Date</t>
  </si>
  <si>
    <t>End Date</t>
  </si>
  <si>
    <t>Counter</t>
  </si>
  <si>
    <t>Number of Days</t>
  </si>
  <si>
    <t>Timing Assumptions</t>
  </si>
  <si>
    <t>Data (do not change once modelling has commenced)</t>
  </si>
  <si>
    <t>Model Start Date</t>
  </si>
  <si>
    <t>Number of Months in a Full Period</t>
  </si>
  <si>
    <t>Example Reporting Month</t>
  </si>
  <si>
    <t>Reporting Month Factor</t>
  </si>
  <si>
    <t>SumProduct Pty Limited</t>
  </si>
  <si>
    <t>Primary Developer:  Sam Ngo</t>
  </si>
  <si>
    <t>sam.ngo@sumproduct.com</t>
  </si>
  <si>
    <t>Market</t>
  </si>
  <si>
    <t>A</t>
  </si>
  <si>
    <t>B</t>
  </si>
  <si>
    <t>C</t>
  </si>
  <si>
    <t>D</t>
  </si>
  <si>
    <t>E</t>
  </si>
  <si>
    <t>X</t>
  </si>
  <si>
    <t>Y</t>
  </si>
  <si>
    <t>Market Size</t>
  </si>
  <si>
    <t>Industrial</t>
  </si>
  <si>
    <t>Services</t>
  </si>
  <si>
    <t>F</t>
  </si>
  <si>
    <t>G</t>
  </si>
  <si>
    <t>Bubble Pies</t>
  </si>
  <si>
    <t>Bubble Pies Chart (thanks to work by Andy Pope).</t>
  </si>
  <si>
    <t>Agriculture</t>
  </si>
  <si>
    <t>Library</t>
  </si>
  <si>
    <t>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</si>
</sst>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164" formatCode="&quot;ý&quot;;&quot;ý&quot;;&quot;þ&quot;"/>
    <numFmt numFmtId="165" formatCode="#,##0&quot;.&quot;"/>
    <numFmt numFmtId="166" formatCode="0.E+00"/>
    <numFmt numFmtId="167" formatCode=";;;"/>
    <numFmt numFmtId="168" formatCode="_(#,##0_);[Red]\(#,##0\);_(\-_);"/>
    <numFmt numFmtId="169" formatCode="_(&quot;$&quot;#,##0.0_);\(&quot;$&quot;#,##0.0\);_(&quot;-&quot;_)"/>
    <numFmt numFmtId="170" formatCode="_(#,##0.0_);\(#,##0.0\);_(&quot;-&quot;_)"/>
    <numFmt numFmtId="171" formatCode="&quot;Row &quot;###0"/>
    <numFmt numFmtId="172" formatCode="#,##0."/>
    <numFmt numFmtId="173" formatCode="_(#,##0_);\(#,##0\);_(\-_)"/>
    <numFmt numFmtId="174" formatCode="_(#,##0.00_);\(#,##0.00\);_(\-_._0_0_)"/>
    <numFmt numFmtId="175" formatCode="&quot;$&quot;* _(#,##0.00_);&quot;$&quot;* \(#,##0.00\);&quot;$&quot;* _(\-_._0_0_)"/>
    <numFmt numFmtId="176" formatCode="&quot;$&quot;* _(#,##0_);&quot;$&quot;* \(#,##0\);&quot;$&quot;* _(\-_)"/>
    <numFmt numFmtId="177" formatCode="[$-C09]dd\ mmm\ yy;@"/>
    <numFmt numFmtId="178" formatCode="mmm\ yy"/>
    <numFmt numFmtId="179" formatCode="[$-C09]d\ mmm\ yy;@"/>
    <numFmt numFmtId="180" formatCode="_(#,##0.0_);\(#,##0.0\);_(\-_._0_0_)"/>
  </numFmts>
  <fonts count="33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</borders>
  <cellStyleXfs count="42">
    <xf numFmtId="0" fontId="0" fillId="0" borderId="0"/>
    <xf numFmtId="174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4" fillId="0" borderId="0" applyNumberFormat="0" applyFill="0" applyBorder="0" applyProtection="0"/>
    <xf numFmtId="0" fontId="27" fillId="0" borderId="0" applyNumberFormat="0" applyFill="0" applyBorder="0">
      <alignment horizontal="left"/>
      <protection locked="0"/>
    </xf>
    <xf numFmtId="0" fontId="15" fillId="0" borderId="0" applyNumberFormat="0" applyFill="0" applyBorder="0" applyProtection="0"/>
    <xf numFmtId="0" fontId="16" fillId="3" borderId="1" applyNumberFormat="0" applyProtection="0"/>
    <xf numFmtId="0" fontId="17" fillId="0" borderId="0" applyNumberFormat="0" applyFill="0" applyAlignment="0" applyProtection="0"/>
    <xf numFmtId="0" fontId="18" fillId="0" borderId="0" applyNumberFormat="0" applyFill="0" applyAlignment="0" applyProtection="0"/>
    <xf numFmtId="0" fontId="26" fillId="0" borderId="3" applyNumberFormat="0" applyAlignment="0">
      <alignment horizontal="center"/>
    </xf>
    <xf numFmtId="0" fontId="25" fillId="4" borderId="4" applyNumberFormat="0" applyAlignment="0">
      <protection locked="0"/>
    </xf>
    <xf numFmtId="0" fontId="3" fillId="0" borderId="0" applyNumberFormat="0" applyFill="0" applyBorder="0"/>
    <xf numFmtId="179" fontId="23" fillId="0" borderId="0" applyFill="0" applyBorder="0" applyProtection="0">
      <alignment horizontal="center"/>
    </xf>
    <xf numFmtId="178" fontId="24" fillId="0" borderId="0" applyFill="0" applyBorder="0" applyProtection="0">
      <alignment horizontal="center"/>
    </xf>
    <xf numFmtId="167" fontId="1" fillId="5" borderId="4" applyAlignment="0"/>
    <xf numFmtId="164" fontId="2" fillId="2" borderId="2">
      <alignment horizontal="center"/>
      <protection locked="0"/>
    </xf>
    <xf numFmtId="0" fontId="4" fillId="0" borderId="0" applyFill="0" applyBorder="0">
      <alignment horizontal="left" vertical="center"/>
      <protection locked="0"/>
    </xf>
    <xf numFmtId="41" fontId="28" fillId="6" borderId="5" applyNumberFormat="0" applyAlignment="0"/>
    <xf numFmtId="41" fontId="1" fillId="0" borderId="6" applyNumberFormat="0" applyFont="0" applyFill="0" applyAlignment="0"/>
    <xf numFmtId="168" fontId="1" fillId="0" borderId="7" applyNumberFormat="0" applyFont="0" applyFill="0" applyAlignment="0" applyProtection="0"/>
    <xf numFmtId="0" fontId="6" fillId="0" borderId="0"/>
    <xf numFmtId="0" fontId="32" fillId="0" borderId="8" applyNumberFormat="0" applyFill="0" applyBorder="0"/>
    <xf numFmtId="168" fontId="1" fillId="0" borderId="0" applyFont="0" applyFill="0" applyBorder="0" applyAlignment="0" applyProtection="0"/>
    <xf numFmtId="0" fontId="26" fillId="7" borderId="2" applyNumberFormat="0" applyAlignment="0" applyProtection="0"/>
    <xf numFmtId="0" fontId="7" fillId="0" borderId="0" applyNumberFormat="0" applyFill="0" applyBorder="0" applyAlignment="0" applyProtection="0"/>
    <xf numFmtId="169" fontId="8" fillId="0" borderId="0" applyFill="0" applyBorder="0">
      <alignment horizontal="right" vertical="center"/>
    </xf>
    <xf numFmtId="170" fontId="8" fillId="0" borderId="0" applyFill="0" applyBorder="0">
      <alignment horizontal="right" vertical="center"/>
    </xf>
    <xf numFmtId="171" fontId="29" fillId="7" borderId="4">
      <alignment horizontal="center"/>
    </xf>
    <xf numFmtId="41" fontId="5" fillId="8" borderId="5" applyFont="0" applyAlignment="0"/>
    <xf numFmtId="0" fontId="13" fillId="11" borderId="0" applyNumberFormat="0">
      <alignment horizontal="center"/>
    </xf>
    <xf numFmtId="0" fontId="30" fillId="0" borderId="0" applyNumberFormat="0" applyFill="0" applyBorder="0" applyProtection="0"/>
    <xf numFmtId="0" fontId="31" fillId="9" borderId="9" applyNumberFormat="0" applyAlignment="0">
      <protection locked="0"/>
    </xf>
    <xf numFmtId="0" fontId="22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10" applyNumberFormat="0" applyFill="0" applyAlignment="0" applyProtection="0"/>
    <xf numFmtId="0" fontId="19" fillId="0" borderId="11" applyNumberFormat="0" applyFill="0" applyAlignment="0" applyProtection="0"/>
    <xf numFmtId="0" fontId="18" fillId="0" borderId="12" applyNumberFormat="0" applyFill="0" applyAlignment="0" applyProtection="0"/>
    <xf numFmtId="172" fontId="16" fillId="3" borderId="1"/>
  </cellStyleXfs>
  <cellXfs count="64">
    <xf numFmtId="0" fontId="0" fillId="0" borderId="0" xfId="0"/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16" fillId="3" borderId="1" xfId="10"/>
    <xf numFmtId="0" fontId="17" fillId="0" borderId="0" xfId="11"/>
    <xf numFmtId="0" fontId="18" fillId="0" borderId="0" xfId="12"/>
    <xf numFmtId="0" fontId="26" fillId="0" borderId="3" xfId="13" applyAlignment="1">
      <alignment horizontal="center"/>
    </xf>
    <xf numFmtId="166" fontId="26" fillId="0" borderId="3" xfId="13" applyNumberFormat="1" applyAlignment="1">
      <alignment horizontal="center"/>
    </xf>
    <xf numFmtId="0" fontId="9" fillId="0" borderId="0" xfId="0" applyFont="1"/>
    <xf numFmtId="0" fontId="10" fillId="0" borderId="0" xfId="12" applyFont="1" applyAlignment="1">
      <alignment horizontal="left" vertical="center"/>
    </xf>
    <xf numFmtId="0" fontId="11" fillId="0" borderId="0" xfId="0" applyFon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27" fillId="0" borderId="0" xfId="8" applyAlignment="1">
      <alignment horizontal="right"/>
      <protection locked="0"/>
    </xf>
    <xf numFmtId="0" fontId="13" fillId="11" borderId="0" xfId="33">
      <alignment horizontal="center"/>
    </xf>
    <xf numFmtId="0" fontId="14" fillId="0" borderId="0" xfId="7" applyBorder="1"/>
    <xf numFmtId="0" fontId="12" fillId="0" borderId="0" xfId="0" applyFont="1" applyAlignment="1">
      <alignment horizontal="left"/>
    </xf>
    <xf numFmtId="0" fontId="15" fillId="0" borderId="0" xfId="9" applyBorder="1"/>
    <xf numFmtId="0" fontId="0" fillId="0" borderId="0" xfId="0" applyAlignment="1">
      <alignment horizontal="left"/>
    </xf>
    <xf numFmtId="0" fontId="19" fillId="0" borderId="0" xfId="6" applyBorder="1"/>
    <xf numFmtId="0" fontId="32" fillId="0" borderId="0" xfId="25" applyBorder="1"/>
    <xf numFmtId="0" fontId="25" fillId="4" borderId="4" xfId="14">
      <protection locked="0"/>
    </xf>
    <xf numFmtId="0" fontId="12" fillId="0" borderId="0" xfId="0" applyFont="1"/>
    <xf numFmtId="0" fontId="26" fillId="0" borderId="3" xfId="13" applyAlignment="1"/>
    <xf numFmtId="167" fontId="1" fillId="5" borderId="4" xfId="18"/>
    <xf numFmtId="164" fontId="2" fillId="2" borderId="2" xfId="19">
      <alignment horizontal="center"/>
      <protection locked="0"/>
    </xf>
    <xf numFmtId="0" fontId="28" fillId="6" borderId="5" xfId="21" applyNumberFormat="1"/>
    <xf numFmtId="0" fontId="0" fillId="0" borderId="6" xfId="22" applyNumberFormat="1" applyFont="1"/>
    <xf numFmtId="0" fontId="0" fillId="0" borderId="7" xfId="23" applyNumberFormat="1" applyFont="1"/>
    <xf numFmtId="0" fontId="26" fillId="7" borderId="2" xfId="27"/>
    <xf numFmtId="0" fontId="7" fillId="0" borderId="0" xfId="28"/>
    <xf numFmtId="171" fontId="29" fillId="7" borderId="4" xfId="31">
      <alignment horizontal="center"/>
    </xf>
    <xf numFmtId="41" fontId="0" fillId="8" borderId="5" xfId="32" applyFont="1"/>
    <xf numFmtId="0" fontId="30" fillId="0" borderId="0" xfId="34"/>
    <xf numFmtId="0" fontId="31" fillId="9" borderId="9" xfId="35">
      <protection locked="0"/>
    </xf>
    <xf numFmtId="173" fontId="0" fillId="0" borderId="0" xfId="2" applyFont="1"/>
    <xf numFmtId="168" fontId="0" fillId="0" borderId="0" xfId="26" applyFont="1"/>
    <xf numFmtId="9" fontId="0" fillId="0" borderId="0" xfId="5" applyFont="1"/>
    <xf numFmtId="164" fontId="2" fillId="10" borderId="2" xfId="0" applyNumberFormat="1" applyFont="1" applyFill="1" applyBorder="1" applyAlignment="1" applyProtection="1">
      <alignment horizontal="center"/>
      <protection locked="0"/>
    </xf>
    <xf numFmtId="179" fontId="23" fillId="0" borderId="0" xfId="16">
      <alignment horizontal="center"/>
    </xf>
    <xf numFmtId="178" fontId="24" fillId="0" borderId="0" xfId="17">
      <alignment horizontal="center"/>
    </xf>
    <xf numFmtId="0" fontId="3" fillId="0" borderId="0" xfId="15"/>
    <xf numFmtId="164" fontId="16" fillId="3" borderId="1" xfId="10" applyNumberFormat="1" applyProtection="1">
      <protection locked="0"/>
    </xf>
    <xf numFmtId="165" fontId="16" fillId="3" borderId="1" xfId="10" applyNumberFormat="1"/>
    <xf numFmtId="0" fontId="14" fillId="0" borderId="0" xfId="7"/>
    <xf numFmtId="0" fontId="15" fillId="0" borderId="0" xfId="9"/>
    <xf numFmtId="172" fontId="16" fillId="3" borderId="1" xfId="41"/>
    <xf numFmtId="41" fontId="25" fillId="4" borderId="4" xfId="14" applyNumberFormat="1">
      <protection locked="0"/>
    </xf>
    <xf numFmtId="174" fontId="0" fillId="0" borderId="0" xfId="1" applyFont="1"/>
    <xf numFmtId="175" fontId="0" fillId="0" borderId="0" xfId="3" applyNumberFormat="1" applyFont="1"/>
    <xf numFmtId="176" fontId="0" fillId="0" borderId="0" xfId="4" applyNumberFormat="1" applyFont="1"/>
    <xf numFmtId="177" fontId="23" fillId="0" borderId="0" xfId="16" applyNumberFormat="1" applyBorder="1">
      <alignment horizontal="center"/>
    </xf>
    <xf numFmtId="178" fontId="24" fillId="0" borderId="0" xfId="17" applyBorder="1">
      <alignment horizontal="center"/>
    </xf>
    <xf numFmtId="177" fontId="26" fillId="0" borderId="3" xfId="13" applyNumberFormat="1">
      <alignment horizontal="center"/>
    </xf>
    <xf numFmtId="168" fontId="25" fillId="4" borderId="4" xfId="14" applyNumberFormat="1">
      <protection locked="0"/>
    </xf>
    <xf numFmtId="0" fontId="25" fillId="4" borderId="13" xfId="14" applyBorder="1">
      <protection locked="0"/>
    </xf>
    <xf numFmtId="168" fontId="25" fillId="4" borderId="4" xfId="26" applyFont="1" applyFill="1" applyBorder="1" applyProtection="1">
      <protection locked="0"/>
    </xf>
    <xf numFmtId="180" fontId="0" fillId="0" borderId="0" xfId="1" applyNumberFormat="1" applyFon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0" fillId="0" borderId="0" xfId="0"/>
    <xf numFmtId="0" fontId="13" fillId="11" borderId="0" xfId="33">
      <alignment horizontal="center"/>
    </xf>
    <xf numFmtId="0" fontId="26" fillId="0" borderId="3" xfId="13" applyAlignment="1">
      <alignment horizontal="left"/>
    </xf>
    <xf numFmtId="0" fontId="25" fillId="4" borderId="4" xfId="14" applyAlignment="1">
      <alignment horizontal="left"/>
      <protection locked="0"/>
    </xf>
    <xf numFmtId="0" fontId="0" fillId="0" borderId="0" xfId="0" applyAlignment="1">
      <alignment horizontal="center"/>
    </xf>
  </cellXfs>
  <cellStyles count="42">
    <cellStyle name="Accounts Ref" xfId="15" xr:uid="{00000000-0005-0000-0000-000000000000}"/>
    <cellStyle name="Assumption" xfId="14" xr:uid="{00000000-0005-0000-0000-000001000000}"/>
    <cellStyle name="Comma" xfId="1" builtinId="3" customBuiltin="1"/>
    <cellStyle name="Comma [0]" xfId="2" builtinId="6" customBuiltin="1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8" tint="-0.499984740745262"/>
        <name val="Arial"/>
        <family val="2"/>
        <scheme val="none"/>
      </font>
      <fill>
        <patternFill patternType="solid">
          <fgColor indexed="64"/>
          <bgColor rgb="FFFFFF99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8" tint="-0.499984740745262"/>
        <name val="Arial"/>
        <family val="2"/>
        <scheme val="none"/>
      </font>
      <fill>
        <patternFill patternType="solid">
          <fgColor indexed="64"/>
          <bgColor rgb="FFFFFF99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8" tint="-0.499984740745262"/>
        <name val="Arial"/>
        <family val="2"/>
        <scheme val="none"/>
      </font>
      <fill>
        <patternFill patternType="solid">
          <fgColor indexed="64"/>
          <bgColor rgb="FFFFFF99"/>
        </patternFill>
      </fill>
      <border diagonalUp="0" diagonalDown="0"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  <protection locked="0" hidden="0"/>
    </dxf>
    <dxf>
      <numFmt numFmtId="168" formatCode="_(#,##0_);[Red]\(#,##0\);_(\-_);"/>
    </dxf>
    <dxf>
      <numFmt numFmtId="168" formatCode="_(#,##0_);[Red]\(#,##0\);_(\-_);"/>
    </dxf>
    <dxf>
      <numFmt numFmtId="168" formatCode="_(#,##0_);[Red]\(#,##0\);_(\-_);"/>
    </dxf>
    <dxf>
      <border outline="0">
        <bottom style="thin">
          <color theme="8" tint="-0.499984740745262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526E9FAC-5438-47B2-A922-0CD7A89BEEBA}"/>
    <tableStyle name="Table Style 1" pivot="0" count="3" xr9:uid="{00000000-0011-0000-FFFF-FFFF00000000}">
      <tableStyleElement type="headerRow" dxfId="18"/>
      <tableStyleElement type="firstRowStripe" dxfId="17"/>
      <tableStyleElement type="secondRowStripe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17/06/relationships/rdSupportingPropertyBagStructure" Target="richData/rdsupportingpropertybagstructur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17/06/relationships/richStyles" Target="richData/rich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24" Type="http://schemas.microsoft.com/office/2023/09/relationships/Python" Target="python.xml"/><Relationship Id="rId5" Type="http://schemas.openxmlformats.org/officeDocument/2006/relationships/worksheet" Target="worksheets/sheet5.xml"/><Relationship Id="rId15" Type="http://schemas.microsoft.com/office/2017/06/relationships/rdArray" Target="richData/rdarray.xml"/><Relationship Id="rId23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microsoft.com/office/2011/relationships/chartColorStyle" Target="colors1.xml"/><Relationship Id="rId1" Type="http://schemas.microsoft.com/office/2011/relationships/chartStyle" Target="style1.xml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Market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'Bubble Pies'!$E$8</c:f>
              <c:strCache>
                <c:ptCount val="1"/>
                <c:pt idx="0">
                  <c:v>Y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788D-480F-94B6-421279B7B8AD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8-788D-480F-94B6-421279B7B8AD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9-788D-480F-94B6-421279B7B8AD}"/>
              </c:ext>
            </c:extLst>
          </c:dPt>
          <c:dPt>
            <c:idx val="3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A-788D-480F-94B6-421279B7B8AD}"/>
              </c:ext>
            </c:extLst>
          </c:dPt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B-788D-480F-94B6-421279B7B8AD}"/>
              </c:ext>
            </c:extLst>
          </c:dPt>
          <c:dPt>
            <c:idx val="5"/>
            <c:invertIfNegative val="0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C-788D-480F-94B6-421279B7B8AD}"/>
              </c:ext>
            </c:extLst>
          </c:dPt>
          <c:dPt>
            <c:idx val="6"/>
            <c:invertIfNegative val="0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D-788D-480F-94B6-421279B7B8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4CAEC2AB-AFBD-4606-9F8B-1E6643F0919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D-788D-480F-94B6-421279B7B8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A0890A-F31E-4D0B-9956-330B49F44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8D-480F-94B6-421279B7B8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5BBAB5-62BF-46EC-9998-B25ECCD4A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8D-480F-94B6-421279B7B8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805DA9-9A6D-4ABF-B83C-3B9ADCF72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8D-480F-94B6-421279B7B8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4695AA-0380-465E-B194-A32FC70B9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8D-480F-94B6-421279B7B8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C09E00-E8A6-4E89-8BA8-F84995D84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8D-480F-94B6-421279B7B8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746DF4E-5837-42D9-B4F1-8E86E3B4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8D-480F-94B6-421279B7B8AD}"/>
                </c:ext>
              </c:extLst>
            </c:dLbl>
            <c:spPr>
              <a:solidFill>
                <a:schemeClr val="bg1"/>
              </a:solidFill>
              <a:ln w="28575" cap="rnd">
                <a:noFill/>
              </a:ln>
              <a:effectLst>
                <a:outerShdw blurRad="50800" dist="50800" dir="21540000" algn="ctr" rotWithShape="0">
                  <a:srgbClr val="000000">
                    <a:alpha val="0"/>
                  </a:srgb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'Bubble Pies'!$D$9:$D$15</c:f>
              <c:numCache>
                <c:formatCode>_(#,##0_);[Red]\(#,##0\);_(\-_);</c:formatCode>
                <c:ptCount val="7"/>
                <c:pt idx="0">
                  <c:v>1</c:v>
                </c:pt>
                <c:pt idx="1">
                  <c:v>3</c:v>
                </c:pt>
                <c:pt idx="2">
                  <c:v>8</c:v>
                </c:pt>
                <c:pt idx="3">
                  <c:v>6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</c:numCache>
            </c:numRef>
          </c:xVal>
          <c:yVal>
            <c:numRef>
              <c:f>'Bubble Pies'!$E$9:$E$15</c:f>
              <c:numCache>
                <c:formatCode>_(#,##0_);[Red]\(#,##0\);_(\-_);</c:formatCode>
                <c:ptCount val="7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</c:numCache>
            </c:numRef>
          </c:yVal>
          <c:bubbleSize>
            <c:numRef>
              <c:f>'Bubble Pies'!$F$9:$F$15</c:f>
              <c:numCache>
                <c:formatCode>_(#,##0_);[Red]\(#,##0\);_(\-_);</c:formatCode>
                <c:ptCount val="7"/>
                <c:pt idx="0">
                  <c:v>5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'Bubble Pies'!$C$9:$C$15</c15:f>
                <c15:dlblRangeCache>
                  <c:ptCount val="7"/>
                  <c:pt idx="0">
                    <c:v>A</c:v>
                  </c:pt>
                  <c:pt idx="1">
                    <c:v>B</c:v>
                  </c:pt>
                  <c:pt idx="2">
                    <c:v>C</c:v>
                  </c:pt>
                  <c:pt idx="3">
                    <c:v>D</c:v>
                  </c:pt>
                  <c:pt idx="4">
                    <c:v>E</c:v>
                  </c:pt>
                  <c:pt idx="5">
                    <c:v>F</c:v>
                  </c:pt>
                  <c:pt idx="6">
                    <c:v>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88D-480F-94B6-421279B7B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09439983"/>
        <c:axId val="209431823"/>
      </c:bubbleChart>
      <c:valAx>
        <c:axId val="209439983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#,##0_);[Red]\(#,##0\);_(\-_)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31823"/>
        <c:crosses val="autoZero"/>
        <c:crossBetween val="midCat"/>
      </c:valAx>
      <c:valAx>
        <c:axId val="20943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#,##0_);[Red]\(#,##0\);_(\-_)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39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AC8-4A43-96C3-4DE8B77AEA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AC8-4A43-96C3-4DE8B77AEA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AC8-4A43-96C3-4DE8B77AEA58}"/>
              </c:ext>
            </c:extLst>
          </c:dPt>
          <c:val>
            <c:numRef>
              <c:f>'Bubble Pies'!$G$15:$I$15</c:f>
              <c:numCache>
                <c:formatCode>_(#,##0_);[Red]\(#,##0\);_(\-_);</c:formatCode>
                <c:ptCount val="3"/>
                <c:pt idx="0">
                  <c:v>425</c:v>
                </c:pt>
                <c:pt idx="1">
                  <c:v>150</c:v>
                </c:pt>
                <c:pt idx="2">
                  <c:v>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B-4864-91D9-394A80F54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17</xdr:row>
      <xdr:rowOff>0</xdr:rowOff>
    </xdr:from>
    <xdr:to>
      <xdr:col>9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AA639E-E245-A9D7-2331-8010FD7856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952500</xdr:colOff>
      <xdr:row>8</xdr:row>
      <xdr:rowOff>0</xdr:rowOff>
    </xdr:from>
    <xdr:to>
      <xdr:col>10</xdr:col>
      <xdr:colOff>0</xdr:colOff>
      <xdr:row>11</xdr:row>
      <xdr:rowOff>0</xdr:rowOff>
    </xdr:to>
    <xdr:sp macro="[0]!PieMarkers" textlink="">
      <xdr:nvSpPr>
        <xdr:cNvPr id="8" name="Rectangle 7">
          <a:extLst>
            <a:ext uri="{FF2B5EF4-FFF2-40B4-BE49-F238E27FC236}">
              <a16:creationId xmlns:a16="http://schemas.microsoft.com/office/drawing/2014/main" id="{8E0BDA2A-C75D-4CCD-688F-6AE9A9790294}"/>
            </a:ext>
          </a:extLst>
        </xdr:cNvPr>
        <xdr:cNvSpPr/>
      </xdr:nvSpPr>
      <xdr:spPr>
        <a:xfrm>
          <a:off x="9305925" y="1495425"/>
          <a:ext cx="106680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Update the</a:t>
          </a:r>
          <a:r>
            <a:rPr lang="en-AU" sz="1100" b="1" baseline="0"/>
            <a:t> Pies</a:t>
          </a:r>
          <a:endParaRPr lang="en-AU" sz="1100" b="1"/>
        </a:p>
      </xdr:txBody>
    </xdr:sp>
    <xdr:clientData/>
  </xdr:twoCellAnchor>
  <xdr:twoCellAnchor>
    <xdr:from>
      <xdr:col>9</xdr:col>
      <xdr:colOff>1157287</xdr:colOff>
      <xdr:row>12</xdr:row>
      <xdr:rowOff>119062</xdr:rowOff>
    </xdr:from>
    <xdr:to>
      <xdr:col>10</xdr:col>
      <xdr:colOff>800100</xdr:colOff>
      <xdr:row>23</xdr:row>
      <xdr:rowOff>21187</xdr:rowOff>
    </xdr:to>
    <xdr:graphicFrame macro="">
      <xdr:nvGraphicFramePr>
        <xdr:cNvPr id="10" name="ExamplePie">
          <a:extLst>
            <a:ext uri="{FF2B5EF4-FFF2-40B4-BE49-F238E27FC236}">
              <a16:creationId xmlns:a16="http://schemas.microsoft.com/office/drawing/2014/main" id="{3B19AB26-3606-AEB2-D850-1036ADE4A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852487</xdr:colOff>
      <xdr:row>43</xdr:row>
      <xdr:rowOff>0</xdr:rowOff>
    </xdr:from>
    <xdr:to>
      <xdr:col>11</xdr:col>
      <xdr:colOff>19050</xdr:colOff>
      <xdr:row>56</xdr:row>
      <xdr:rowOff>95250</xdr:rowOff>
    </xdr:to>
    <xdr:graphicFrame macro="">
      <xdr:nvGraphicFramePr>
        <xdr:cNvPr id="5" name="Chart4">
          <a:extLst>
            <a:ext uri="{FF2B5EF4-FFF2-40B4-BE49-F238E27FC236}">
              <a16:creationId xmlns:a16="http://schemas.microsoft.com/office/drawing/2014/main" id="{EF32E512-A57E-6EE0-30EF-1FB1696C6F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7" c="3">
    <v>39.737274220032845</v>
    <v>36.781609195402297</v>
    <v>23.481116584564859</v>
    <v>60.610263522884878</v>
    <v>24.549237170596395</v>
    <v>14.840499306518723</v>
    <v>32.765957446808507</v>
    <v>51.489361702127653</v>
    <v>15.74468085106383</v>
    <v>15.232722143864599</v>
    <v>41.325811001410443</v>
    <v>43.441466854724965</v>
    <v>33.283914010378055</v>
    <v>30.318754633061531</v>
    <v>36.397331356560414</v>
    <v>28.939393939393938</v>
    <v>34.696969696969695</v>
    <v>36.363636363636367</v>
    <v>44.549266247379457</v>
    <v>15.723270440251572</v>
    <v>39.727463312368968</v>
  </a>
  <a r="2">
    <v>4240</v>
    <v>3865</v>
  </a>
</arrayData>
</file>

<file path=xl/richData/rdrichvalue.xml><?xml version="1.0" encoding="utf-8"?>
<rvData xmlns="http://schemas.microsoft.com/office/spreadsheetml/2017/richdata" count="10">
  <rv s="0">
    <fb>0</fb>
    <v>0</v>
  </rv>
  <rv s="1">
    <fb>0</fb>
    <v>&lt;class 'NoneType'&gt;</v>
    <v>NoneType</v>
    <v>None</v>
    <v>0</v>
    <v>1</v>
  </rv>
  <rv s="2">
    <v>0</v>
  </rv>
  <rv s="3">
    <v>ndarray</v>
    <v>3</v>
    <v>2</v>
  </rv>
  <rv s="1">
    <v>&lt;class 'numpy.ndarray'&gt;</v>
    <v>ndarray</v>
    <v>[[39.73727422 36.7816092  23.48111658]
 [60.61026352 24.54923717 14.84049931]
 [32.76595745 51.4893617  15.74468085]
 [15.23272214 41.325811   43.44146685]
 [33.28391401 30.31875463 36.39733136]
 [28.93939394 34.6969697  36.36363636]
 [44.54926625 15.7...</v>
    <v>3</v>
    <v>1</v>
  </rv>
  <rv s="4">
    <v>0</v>
    <v>9</v>
  </rv>
  <rv s="2">
    <v>1</v>
  </rv>
  <rv s="5">
    <v>Image</v>
    <v>4</v>
    <v>5</v>
    <v>6</v>
  </rv>
  <rv s="1">
    <v>&lt;class 'PIL.PngImagePlugin.PngImageFile'&gt;</v>
    <v>PngImageFile</v>
    <v>&lt;PIL.PngImagePlugin.PngImageFile image mode=RGBA size=4240x3865 at 0x7F2D2627A450&gt;</v>
    <v>7</v>
    <v>1</v>
  </rv>
  <rv s="4">
    <v>0</v>
    <v>3</v>
  </rv>
</rvData>
</file>

<file path=xl/richData/rdrichvaluestructure.xml><?xml version="1.0" encoding="utf-8"?>
<rvStructures xmlns="http://schemas.microsoft.com/office/spreadsheetml/2017/richdata" count="6">
  <s t="_formattednumber">
    <k n="_Format" t="spb"/>
  </s>
  <s t="_python">
    <k n="Python_type" t="s"/>
    <k n="Python_typeName" t="s"/>
    <k n="Python_str" t="s"/>
    <k n="preview" t="r"/>
    <k n="_Provider" t="spb"/>
  </s>
  <s t="_array">
    <k n="array" t="a"/>
  </s>
  <s t="_entity">
    <k n="_DisplayString" t="s"/>
    <k n="_ViewInfo" t="spb"/>
    <k n="arrayPreview" t="r"/>
  </s>
  <s t="_localImage">
    <k n="_rvRel:LocalImageIdentifier" t="i"/>
    <k n="CalcOrigin" t="i"/>
  </s>
  <s t="_entity">
    <k n="_DisplayString" t="s"/>
    <k n="_Format" t="spb"/>
    <k n="image" t="r"/>
    <k n="size" t="r"/>
  </s>
</rvStructures>
</file>

<file path=xl/richData/rdsupportingpropertybag.xml><?xml version="1.0" encoding="utf-8"?>
<supportingPropertyBags xmlns="http://schemas.microsoft.com/office/spreadsheetml/2017/richdata2">
  <spbData count="5">
    <spb s="0">
      <v>1</v>
    </spb>
    <spb s="1">
      <v>https://www.anaconda.com/excel</v>
      <v>https://res.cdn.office.net/officepysvc/prod-service/anacondalogo.png</v>
      <v>Python provided by Anaconda</v>
    </spb>
    <spb s="2">
      <v>7</v>
      <v>3</v>
      <v>ndarray</v>
      <v>arrayPreview</v>
    </spb>
    <spb s="3">
      <v>2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_Self" t="i"/>
  </s>
  <s>
    <k n="link" t="s"/>
    <k n="logo" t="s"/>
    <k n="name" t="s"/>
  </s>
  <s>
    <k n="drw" t="i"/>
    <k n="dcol" t="i"/>
    <k n="name" t="s"/>
    <k n="array" t="s"/>
  </s>
  <s>
    <k n="ArrayCardInfo" t="spb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EED6B0-F44A-41CA-BCAC-B88D56C7CA83}" name="Data" displayName="Data" ref="C8:I15" totalsRowShown="0" tableBorderDxfId="6" headerRowCellStyle="Table_Heading" dataCellStyle="Assumption">
  <autoFilter ref="C8:I15" xr:uid="{EEEED6B0-F44A-41CA-BCAC-B88D56C7CA83}"/>
  <tableColumns count="7">
    <tableColumn id="1" xr3:uid="{4E3F3E17-C043-4BA9-A7CB-11942747BE1F}" name="Market" dataCellStyle="Assumption"/>
    <tableColumn id="2" xr3:uid="{F5DCBDB5-5D6C-4AE6-82EC-9762E4DA5075}" name="X" dataDxfId="5" dataCellStyle="Assumption"/>
    <tableColumn id="3" xr3:uid="{6263E65F-F7A1-43BE-B6CD-4E726B20C41F}" name="Y" dataDxfId="4" dataCellStyle="Assumption"/>
    <tableColumn id="4" xr3:uid="{5A37FE8A-B895-4B41-AC4D-95154FA3161E}" name="Market Size" dataDxfId="3" dataCellStyle="Assumption"/>
    <tableColumn id="5" xr3:uid="{C1E7AB57-E306-419F-83BE-EDF2B3226C2F}" name="Agriculture" dataDxfId="2" dataCellStyle="Numbers 0"/>
    <tableColumn id="6" xr3:uid="{E510697D-523D-45D8-B926-FC7E9481AECF}" name="Industrial" dataDxfId="1" dataCellStyle="Numbers 0"/>
    <tableColumn id="7" xr3:uid="{2117F251-9682-4525-AD60-299BAB685C5D}" name="Services" dataDxfId="0" dataCellStyle="Numbers 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sam.ngo@sumproduct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"/>
  <sheetViews>
    <sheetView showGridLines="0" zoomScaleNormal="100" workbookViewId="0">
      <selection activeCell="A3" sqref="A3"/>
    </sheetView>
  </sheetViews>
  <sheetFormatPr defaultRowHeight="12" x14ac:dyDescent="0.2"/>
  <cols>
    <col min="3" max="4" width="3.7109375" customWidth="1"/>
  </cols>
  <sheetData>
    <row r="1" spans="1:19" x14ac:dyDescent="0.2">
      <c r="A1" s="11"/>
    </row>
    <row r="3" spans="1:19" x14ac:dyDescent="0.2">
      <c r="A3" s="11" t="s">
        <v>1</v>
      </c>
    </row>
    <row r="5" spans="1:19" ht="20.25" x14ac:dyDescent="0.3">
      <c r="C5" s="43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9" ht="18" x14ac:dyDescent="0.25">
      <c r="C6" s="44" t="str">
        <f ca="1">Model_Name</f>
        <v>SP Bubble Pies.xlsm</v>
      </c>
      <c r="D6" s="7"/>
      <c r="E6" s="7"/>
      <c r="F6" s="7"/>
      <c r="G6" s="7"/>
      <c r="H6" s="7"/>
      <c r="I6" s="7"/>
      <c r="J6" s="7"/>
    </row>
    <row r="7" spans="1:19" ht="12.75" x14ac:dyDescent="0.2">
      <c r="C7" s="7"/>
      <c r="D7" s="7"/>
      <c r="E7" s="7"/>
      <c r="F7" s="7"/>
      <c r="G7" s="7"/>
      <c r="H7" s="7"/>
      <c r="I7" s="7"/>
      <c r="J7" s="7"/>
    </row>
    <row r="8" spans="1:19" ht="12.75" x14ac:dyDescent="0.2">
      <c r="C8" s="7"/>
      <c r="D8" s="7"/>
      <c r="E8" s="7"/>
      <c r="F8" s="7"/>
      <c r="G8" s="7"/>
      <c r="H8" s="7"/>
      <c r="I8" s="7"/>
      <c r="J8" s="7"/>
    </row>
    <row r="9" spans="1:19" ht="12.75" x14ac:dyDescent="0.2">
      <c r="C9" s="7"/>
      <c r="D9" s="7"/>
      <c r="E9" s="7"/>
      <c r="F9" s="7"/>
      <c r="G9" s="7"/>
      <c r="H9" s="7"/>
      <c r="I9" s="7"/>
      <c r="J9" s="7"/>
    </row>
    <row r="10" spans="1:19" ht="12.75" x14ac:dyDescent="0.2">
      <c r="C10" s="7"/>
      <c r="D10" s="7"/>
      <c r="E10" s="7"/>
      <c r="F10" s="7"/>
      <c r="G10" s="7"/>
      <c r="H10" s="7"/>
      <c r="I10" s="7"/>
      <c r="J10" s="7"/>
    </row>
    <row r="11" spans="1:19" ht="15" x14ac:dyDescent="0.25">
      <c r="C11" s="7"/>
      <c r="D11" s="7"/>
      <c r="E11" s="7"/>
      <c r="F11" s="7"/>
      <c r="G11" s="7"/>
      <c r="H11" s="7"/>
      <c r="I11" s="7"/>
      <c r="J11" s="7"/>
      <c r="S11" s="40"/>
    </row>
    <row r="12" spans="1:19" ht="12.75" x14ac:dyDescent="0.2">
      <c r="C12" s="7"/>
      <c r="D12" s="7"/>
      <c r="E12" s="7"/>
      <c r="F12" s="7"/>
      <c r="G12" s="7"/>
      <c r="H12" s="7"/>
      <c r="I12" s="7"/>
      <c r="J12" s="7"/>
    </row>
    <row r="13" spans="1:19" ht="12.75" x14ac:dyDescent="0.2">
      <c r="C13" s="7"/>
      <c r="D13" s="7"/>
      <c r="E13" s="7"/>
      <c r="F13" s="7"/>
      <c r="G13" s="7"/>
      <c r="H13" s="7"/>
      <c r="I13" s="7"/>
      <c r="J13" s="7"/>
    </row>
    <row r="14" spans="1:19" ht="12.75" x14ac:dyDescent="0.2">
      <c r="C14" s="8" t="s">
        <v>81</v>
      </c>
      <c r="D14" s="9"/>
      <c r="E14" s="7"/>
      <c r="F14" s="7"/>
      <c r="G14" s="7"/>
      <c r="H14" s="7"/>
      <c r="I14" s="7"/>
      <c r="J14" s="7"/>
    </row>
    <row r="15" spans="1:19" ht="12.75" x14ac:dyDescent="0.2">
      <c r="C15" s="9"/>
      <c r="D15" s="9"/>
      <c r="E15" s="7"/>
      <c r="F15" s="7"/>
      <c r="G15" s="7"/>
      <c r="H15" s="7"/>
      <c r="I15" s="7"/>
      <c r="J15" s="7"/>
    </row>
    <row r="16" spans="1:19" ht="12.75" x14ac:dyDescent="0.2">
      <c r="C16" s="8" t="s">
        <v>19</v>
      </c>
      <c r="D16" s="9"/>
      <c r="E16" s="7"/>
      <c r="F16" s="7"/>
      <c r="G16" s="7"/>
      <c r="H16" s="7"/>
      <c r="I16" s="7"/>
      <c r="J16" s="7"/>
    </row>
    <row r="17" spans="3:10" ht="12.75" x14ac:dyDescent="0.2">
      <c r="C17" s="57" t="s">
        <v>97</v>
      </c>
      <c r="D17" s="57"/>
      <c r="E17" s="57"/>
      <c r="F17" s="57"/>
      <c r="G17" s="57"/>
      <c r="H17" s="57"/>
      <c r="I17" s="57"/>
      <c r="J17" s="57"/>
    </row>
    <row r="18" spans="3:10" ht="12.75" x14ac:dyDescent="0.2">
      <c r="C18" s="57"/>
      <c r="D18" s="57"/>
      <c r="E18" s="57"/>
      <c r="F18" s="57"/>
      <c r="G18" s="57"/>
      <c r="H18" s="57"/>
      <c r="I18" s="57"/>
      <c r="J18" s="57"/>
    </row>
    <row r="19" spans="3:10" ht="12.75" x14ac:dyDescent="0.2">
      <c r="C19" s="10"/>
      <c r="D19" s="9"/>
      <c r="E19" s="7"/>
      <c r="F19" s="7"/>
      <c r="G19" s="7"/>
      <c r="H19" s="7"/>
      <c r="I19" s="7"/>
      <c r="J19" s="7"/>
    </row>
    <row r="20" spans="3:10" ht="12.75" x14ac:dyDescent="0.2">
      <c r="C20" s="10"/>
      <c r="D20" s="9"/>
      <c r="E20" s="7"/>
      <c r="F20" s="7"/>
      <c r="G20" s="7"/>
      <c r="H20" s="7"/>
      <c r="I20" s="7"/>
      <c r="J20" s="7"/>
    </row>
    <row r="21" spans="3:10" ht="12.75" x14ac:dyDescent="0.2">
      <c r="C21" s="10" t="s">
        <v>20</v>
      </c>
      <c r="D21" s="9"/>
      <c r="E21" s="7"/>
      <c r="F21" s="7"/>
      <c r="G21" s="58" t="s">
        <v>82</v>
      </c>
      <c r="H21" s="58"/>
      <c r="I21" s="58"/>
      <c r="J21" s="7"/>
    </row>
    <row r="22" spans="3:10" ht="12.75" x14ac:dyDescent="0.2">
      <c r="C22" s="10" t="s">
        <v>21</v>
      </c>
      <c r="D22" s="9"/>
      <c r="E22" s="7"/>
      <c r="F22" s="7"/>
      <c r="G22" s="58" t="s">
        <v>22</v>
      </c>
      <c r="H22" s="58"/>
      <c r="I22" s="58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4"/>
  <sheetViews>
    <sheetView showGridLines="0" zoomScaleNormal="100" workbookViewId="0">
      <pane ySplit="4" topLeftCell="A5" activePane="bottomLeft" state="frozen"/>
      <selection pane="bottomLeft"/>
    </sheetView>
  </sheetViews>
  <sheetFormatPr defaultRowHeight="12" x14ac:dyDescent="0.2"/>
  <cols>
    <col min="1" max="5" width="3.7109375" customWidth="1"/>
    <col min="6" max="6" width="17.7109375" customWidth="1"/>
  </cols>
  <sheetData>
    <row r="1" spans="1:12" ht="20.25" x14ac:dyDescent="0.3">
      <c r="A1" s="43" t="s">
        <v>1</v>
      </c>
      <c r="F1" s="12"/>
      <c r="G1" s="12"/>
    </row>
    <row r="2" spans="1:12" ht="18" x14ac:dyDescent="0.25">
      <c r="A2" s="44" t="str">
        <f ca="1">Model_Name</f>
        <v>SP Bubble Pies.xlsm</v>
      </c>
    </row>
    <row r="3" spans="1:12" x14ac:dyDescent="0.2">
      <c r="A3" s="11" t="s">
        <v>1</v>
      </c>
      <c r="B3" s="11"/>
      <c r="C3" s="11"/>
      <c r="D3" s="11"/>
      <c r="E3" s="11"/>
    </row>
    <row r="4" spans="1:12" ht="14.25" x14ac:dyDescent="0.2">
      <c r="E4" t="s">
        <v>2</v>
      </c>
      <c r="G4" s="24">
        <f>Overall_Error_Check</f>
        <v>0</v>
      </c>
    </row>
    <row r="7" spans="1:12" ht="16.5" thickBot="1" x14ac:dyDescent="0.3">
      <c r="B7" s="45">
        <v>1</v>
      </c>
      <c r="C7" s="45" t="s">
        <v>23</v>
      </c>
      <c r="D7" s="45"/>
      <c r="E7" s="45"/>
      <c r="F7" s="45"/>
      <c r="G7" s="45"/>
      <c r="H7" s="45"/>
      <c r="I7" s="45"/>
      <c r="J7" s="45"/>
      <c r="K7" s="45"/>
      <c r="L7" s="45"/>
    </row>
    <row r="8" spans="1:12" ht="12.75" thickTop="1" x14ac:dyDescent="0.2"/>
    <row r="9" spans="1:12" x14ac:dyDescent="0.2">
      <c r="F9" s="11" t="s">
        <v>24</v>
      </c>
    </row>
    <row r="10" spans="1:12" x14ac:dyDescent="0.2">
      <c r="F10" s="11" t="s">
        <v>25</v>
      </c>
    </row>
    <row r="11" spans="1:12" x14ac:dyDescent="0.2">
      <c r="F11" s="11" t="s">
        <v>0</v>
      </c>
    </row>
    <row r="12" spans="1:12" x14ac:dyDescent="0.2">
      <c r="F12" s="11" t="s">
        <v>69</v>
      </c>
    </row>
    <row r="13" spans="1:12" x14ac:dyDescent="0.2">
      <c r="F13" s="11" t="s">
        <v>64</v>
      </c>
    </row>
    <row r="14" spans="1:12" x14ac:dyDescent="0.2">
      <c r="F14" s="11" t="s">
        <v>96</v>
      </c>
    </row>
  </sheetData>
  <conditionalFormatting sqref="G4">
    <cfRule type="cellIs" dxfId="15" priority="1" operator="equal">
      <formula>1</formula>
    </cfRule>
  </conditionalFormatting>
  <hyperlinks>
    <hyperlink ref="A3:E3" location="HL_Navigator" tooltip="Go to Navigator (Table of Contents)" display="Navigator" xr:uid="{00000000-0004-0000-0100-000000000000}"/>
    <hyperlink ref="F9" location="HL_1" display="Cover" xr:uid="{8C96E2F5-9D6D-45BE-A36A-4957A1B25753}"/>
    <hyperlink ref="F10" location="HL_3" display="Style Guide" xr:uid="{AD76FD25-BDA6-492C-81ED-C4EE4D65C39E}"/>
    <hyperlink ref="F11" location="HL_4" display="Model Parameters" xr:uid="{A44BA620-9839-4922-B035-EFD0B40E9CC5}"/>
    <hyperlink ref="F12" location="HL_5" display="Timing" xr:uid="{190EB988-1E82-4667-99D1-BB81C88759C2}"/>
    <hyperlink ref="F13" location="HL_6" display="Error Checks" xr:uid="{C02B8954-E68D-4AA1-A31B-E7167E6B348A}"/>
    <hyperlink ref="F14" location="HL_7" display="Bubble Pies" xr:uid="{0E13E75E-FDB6-45FD-9393-A626F0E628B5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O81"/>
  <sheetViews>
    <sheetView showGridLines="0" zoomScaleNormal="100" workbookViewId="0">
      <pane ySplit="4" topLeftCell="A5" activePane="bottomLeft" state="frozen"/>
      <selection pane="bottomLeft" activeCell="K34" sqref="K34"/>
    </sheetView>
  </sheetViews>
  <sheetFormatPr defaultColWidth="0" defaultRowHeight="12" outlineLevelRow="1" x14ac:dyDescent="0.2"/>
  <cols>
    <col min="1" max="5" width="3.7109375" customWidth="1"/>
    <col min="6" max="7" width="9.140625" customWidth="1"/>
    <col min="8" max="8" width="1.7109375" customWidth="1"/>
    <col min="9" max="9" width="17.28515625" bestFit="1" customWidth="1"/>
    <col min="10" max="10" width="1.7109375" customWidth="1"/>
    <col min="11" max="11" width="23.42578125" customWidth="1"/>
    <col min="12" max="13" width="9.140625" customWidth="1"/>
    <col min="14" max="14" width="1.7109375" customWidth="1"/>
    <col min="15" max="15" width="0" hidden="1" customWidth="1"/>
    <col min="16" max="16384" width="9.140625" hidden="1"/>
  </cols>
  <sheetData>
    <row r="1" spans="1:13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8" x14ac:dyDescent="0.25">
      <c r="A2" s="44" t="str">
        <f ca="1">Model_Name</f>
        <v>SP Bubble Pies.xlsm</v>
      </c>
    </row>
    <row r="3" spans="1:13" x14ac:dyDescent="0.2">
      <c r="A3" s="58" t="s">
        <v>1</v>
      </c>
      <c r="B3" s="58"/>
      <c r="C3" s="58"/>
      <c r="D3" s="58"/>
      <c r="E3" s="58"/>
    </row>
    <row r="4" spans="1:13" ht="14.25" x14ac:dyDescent="0.2">
      <c r="E4" t="s">
        <v>2</v>
      </c>
      <c r="I4" s="1">
        <f>Overall_Error_Check</f>
        <v>0</v>
      </c>
    </row>
    <row r="5" spans="1:13" x14ac:dyDescent="0.2">
      <c r="A5" s="11"/>
    </row>
    <row r="6" spans="1:13" ht="16.5" thickBot="1" x14ac:dyDescent="0.3">
      <c r="B6" s="45">
        <f>MAX($B$5:$B5)+1</f>
        <v>1</v>
      </c>
      <c r="C6" s="2" t="s">
        <v>26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.75" outlineLevel="1" thickTop="1" x14ac:dyDescent="0.2"/>
    <row r="8" spans="1:13" outlineLevel="1" x14ac:dyDescent="0.2">
      <c r="C8" s="60" t="s">
        <v>27</v>
      </c>
      <c r="D8" s="60"/>
      <c r="E8" s="60"/>
      <c r="F8" s="60"/>
      <c r="G8" s="60"/>
      <c r="H8" s="13"/>
      <c r="I8" s="13" t="s">
        <v>28</v>
      </c>
      <c r="J8" s="13"/>
      <c r="K8" s="13" t="s">
        <v>29</v>
      </c>
    </row>
    <row r="9" spans="1:13" outlineLevel="1" x14ac:dyDescent="0.2">
      <c r="C9" s="59"/>
      <c r="D9" s="59"/>
      <c r="E9" s="59"/>
      <c r="F9" s="59"/>
      <c r="G9" s="59"/>
      <c r="K9" s="17"/>
    </row>
    <row r="10" spans="1:13" ht="20.25" outlineLevel="1" x14ac:dyDescent="0.3">
      <c r="C10" s="59" t="s">
        <v>30</v>
      </c>
      <c r="D10" s="59"/>
      <c r="E10" s="59"/>
      <c r="F10" s="59"/>
      <c r="G10" s="59"/>
      <c r="I10" s="14" t="str">
        <f>C10</f>
        <v>Sheet Title</v>
      </c>
      <c r="K10" s="15" t="s">
        <v>30</v>
      </c>
    </row>
    <row r="11" spans="1:13" ht="18" outlineLevel="1" x14ac:dyDescent="0.25">
      <c r="C11" s="59" t="s">
        <v>5</v>
      </c>
      <c r="D11" s="59"/>
      <c r="E11" s="59"/>
      <c r="F11" s="59"/>
      <c r="G11" s="59"/>
      <c r="I11" s="16" t="str">
        <f>C11</f>
        <v>Model Name</v>
      </c>
      <c r="K11" s="15" t="s">
        <v>5</v>
      </c>
    </row>
    <row r="12" spans="1:13" outlineLevel="1" x14ac:dyDescent="0.2">
      <c r="C12" s="59"/>
      <c r="D12" s="59"/>
      <c r="E12" s="59"/>
      <c r="F12" s="59"/>
      <c r="G12" s="59"/>
      <c r="K12" s="17"/>
    </row>
    <row r="13" spans="1:13" ht="16.5" outlineLevel="1" thickBot="1" x14ac:dyDescent="0.3">
      <c r="C13" s="59" t="s">
        <v>31</v>
      </c>
      <c r="D13" s="59"/>
      <c r="E13" s="59"/>
      <c r="F13" s="59"/>
      <c r="G13" s="59"/>
      <c r="I13" s="42" t="str">
        <f>C13</f>
        <v>Header 1</v>
      </c>
      <c r="K13" s="15" t="s">
        <v>31</v>
      </c>
    </row>
    <row r="14" spans="1:13" ht="17.25" outlineLevel="1" thickTop="1" x14ac:dyDescent="0.25">
      <c r="C14" s="59" t="s">
        <v>32</v>
      </c>
      <c r="D14" s="59"/>
      <c r="E14" s="59"/>
      <c r="F14" s="59"/>
      <c r="G14" s="59"/>
      <c r="I14" s="3" t="str">
        <f>C14</f>
        <v>Header 2</v>
      </c>
      <c r="K14" s="15" t="s">
        <v>32</v>
      </c>
    </row>
    <row r="15" spans="1:13" ht="15" outlineLevel="1" x14ac:dyDescent="0.25">
      <c r="C15" s="59" t="s">
        <v>33</v>
      </c>
      <c r="D15" s="59"/>
      <c r="E15" s="59"/>
      <c r="F15" s="59"/>
      <c r="G15" s="59"/>
      <c r="I15" s="4" t="str">
        <f>C15</f>
        <v>Header 3</v>
      </c>
      <c r="K15" s="15" t="s">
        <v>33</v>
      </c>
    </row>
    <row r="16" spans="1:13" ht="15" outlineLevel="1" x14ac:dyDescent="0.25">
      <c r="C16" s="59" t="s">
        <v>34</v>
      </c>
      <c r="D16" s="59"/>
      <c r="E16" s="59"/>
      <c r="F16" s="59"/>
      <c r="G16" s="59"/>
      <c r="I16" s="18" t="str">
        <f>C16</f>
        <v>Header 4</v>
      </c>
      <c r="K16" s="15" t="s">
        <v>34</v>
      </c>
    </row>
    <row r="17" spans="2:14" outlineLevel="1" x14ac:dyDescent="0.2">
      <c r="C17" s="59"/>
      <c r="D17" s="59"/>
      <c r="E17" s="59"/>
      <c r="F17" s="59"/>
      <c r="G17" s="59"/>
      <c r="K17" s="17"/>
    </row>
    <row r="18" spans="2:14" ht="15" outlineLevel="1" x14ac:dyDescent="0.25">
      <c r="C18" s="59" t="s">
        <v>35</v>
      </c>
      <c r="D18" s="59"/>
      <c r="E18" s="59"/>
      <c r="F18" s="59"/>
      <c r="G18" s="59"/>
      <c r="I18" s="19" t="str">
        <f>C18</f>
        <v>Notes</v>
      </c>
      <c r="K18" s="15" t="s">
        <v>35</v>
      </c>
    </row>
    <row r="19" spans="2:14" outlineLevel="1" x14ac:dyDescent="0.2">
      <c r="C19" s="59"/>
      <c r="D19" s="59"/>
      <c r="E19" s="59"/>
      <c r="F19" s="59"/>
      <c r="G19" s="59"/>
      <c r="K19" s="17"/>
      <c r="N19" s="19"/>
    </row>
    <row r="20" spans="2:14" ht="15" outlineLevel="1" x14ac:dyDescent="0.25">
      <c r="C20" s="59" t="s">
        <v>36</v>
      </c>
      <c r="D20" s="59"/>
      <c r="E20" s="59"/>
      <c r="F20" s="59"/>
      <c r="G20" s="59"/>
      <c r="I20" s="13" t="str">
        <f>C20</f>
        <v>Table Heading</v>
      </c>
      <c r="K20" s="15" t="s">
        <v>36</v>
      </c>
    </row>
    <row r="21" spans="2:14" outlineLevel="1" x14ac:dyDescent="0.2"/>
    <row r="22" spans="2:14" outlineLevel="1" x14ac:dyDescent="0.2"/>
    <row r="23" spans="2:14" ht="16.5" thickBot="1" x14ac:dyDescent="0.3">
      <c r="B23" s="45">
        <f>MAX($B$5:$B22)+1</f>
        <v>2</v>
      </c>
      <c r="C23" s="2" t="s">
        <v>37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.75" outlineLevel="1" thickTop="1" x14ac:dyDescent="0.2"/>
    <row r="25" spans="2:14" outlineLevel="1" x14ac:dyDescent="0.2">
      <c r="C25" s="60" t="s">
        <v>27</v>
      </c>
      <c r="D25" s="60"/>
      <c r="E25" s="60"/>
      <c r="F25" s="60"/>
      <c r="G25" s="60"/>
      <c r="H25" s="13"/>
      <c r="I25" s="13" t="s">
        <v>28</v>
      </c>
      <c r="J25" s="13"/>
      <c r="K25" s="13" t="s">
        <v>29</v>
      </c>
    </row>
    <row r="26" spans="2:14" ht="15" outlineLevel="1" x14ac:dyDescent="0.25">
      <c r="C26" s="59"/>
      <c r="D26" s="59"/>
      <c r="E26" s="59"/>
      <c r="F26" s="59"/>
      <c r="G26" s="59"/>
      <c r="K26" s="15"/>
    </row>
    <row r="27" spans="2:14" ht="15" outlineLevel="1" x14ac:dyDescent="0.25">
      <c r="C27" s="59" t="s">
        <v>38</v>
      </c>
      <c r="D27" s="59"/>
      <c r="E27" s="59"/>
      <c r="F27" s="59"/>
      <c r="G27" s="59"/>
      <c r="I27" s="20" t="s">
        <v>38</v>
      </c>
      <c r="K27" s="21" t="str">
        <f>C27</f>
        <v>Assumption</v>
      </c>
    </row>
    <row r="28" spans="2:14" ht="15" outlineLevel="1" x14ac:dyDescent="0.25">
      <c r="C28" s="59"/>
      <c r="D28" s="59"/>
      <c r="E28" s="59"/>
      <c r="F28" s="59"/>
      <c r="G28" s="59"/>
      <c r="K28" s="21"/>
    </row>
    <row r="29" spans="2:14" ht="15" outlineLevel="1" x14ac:dyDescent="0.25">
      <c r="C29" s="59" t="s">
        <v>39</v>
      </c>
      <c r="D29" s="59"/>
      <c r="E29" s="59"/>
      <c r="F29" s="59"/>
      <c r="G29" s="59"/>
      <c r="I29" s="22" t="str">
        <f>C29</f>
        <v>Constraint</v>
      </c>
      <c r="K29" s="21" t="str">
        <f>C29</f>
        <v>Constraint</v>
      </c>
    </row>
    <row r="30" spans="2:14" ht="15" outlineLevel="1" x14ac:dyDescent="0.25">
      <c r="C30" s="59"/>
      <c r="D30" s="59"/>
      <c r="E30" s="59"/>
      <c r="F30" s="59"/>
      <c r="G30" s="59"/>
      <c r="K30" s="21"/>
    </row>
    <row r="31" spans="2:14" ht="15" outlineLevel="1" x14ac:dyDescent="0.25">
      <c r="C31" s="59" t="s">
        <v>40</v>
      </c>
      <c r="D31" s="59"/>
      <c r="E31" s="59"/>
      <c r="F31" s="59"/>
      <c r="G31" s="59"/>
      <c r="I31" s="23"/>
      <c r="K31" s="21" t="str">
        <f>C31</f>
        <v>Empty</v>
      </c>
    </row>
    <row r="32" spans="2:14" ht="15" outlineLevel="1" x14ac:dyDescent="0.25">
      <c r="C32" s="59"/>
      <c r="D32" s="59"/>
      <c r="E32" s="59"/>
      <c r="F32" s="59"/>
      <c r="G32" s="59"/>
      <c r="K32" s="21"/>
    </row>
    <row r="33" spans="3:11" ht="15" outlineLevel="1" x14ac:dyDescent="0.25">
      <c r="C33" t="s">
        <v>41</v>
      </c>
      <c r="I33" s="24">
        <v>0</v>
      </c>
      <c r="K33" s="21" t="str">
        <f>C33</f>
        <v>Error Check</v>
      </c>
    </row>
    <row r="34" spans="3:11" ht="15" outlineLevel="1" x14ac:dyDescent="0.25">
      <c r="K34" s="21"/>
    </row>
    <row r="35" spans="3:11" ht="15" outlineLevel="1" x14ac:dyDescent="0.25">
      <c r="C35" s="59" t="s">
        <v>42</v>
      </c>
      <c r="D35" s="59"/>
      <c r="E35" s="59"/>
      <c r="F35" s="59"/>
      <c r="G35" s="59"/>
      <c r="I35" s="11" t="s">
        <v>42</v>
      </c>
      <c r="K35" s="21" t="str">
        <f>C35</f>
        <v>Hyperlink</v>
      </c>
    </row>
    <row r="36" spans="3:11" ht="15" outlineLevel="1" x14ac:dyDescent="0.25">
      <c r="C36" s="59"/>
      <c r="D36" s="59"/>
      <c r="E36" s="59"/>
      <c r="F36" s="59"/>
      <c r="G36" s="59"/>
      <c r="K36" s="21"/>
    </row>
    <row r="37" spans="3:11" ht="15" outlineLevel="1" x14ac:dyDescent="0.25">
      <c r="C37" s="59" t="s">
        <v>43</v>
      </c>
      <c r="D37" s="59"/>
      <c r="E37" s="59"/>
      <c r="F37" s="59"/>
      <c r="G37" s="59"/>
      <c r="I37" s="25" t="str">
        <f>'Error Checks'!E12</f>
        <v>Example</v>
      </c>
      <c r="K37" s="21" t="str">
        <f>C37</f>
        <v>Internal Reference</v>
      </c>
    </row>
    <row r="38" spans="3:11" ht="15" outlineLevel="1" x14ac:dyDescent="0.25">
      <c r="C38" s="59"/>
      <c r="D38" s="59"/>
      <c r="E38" s="59"/>
      <c r="F38" s="59"/>
      <c r="G38" s="59"/>
      <c r="K38" s="21"/>
    </row>
    <row r="39" spans="3:11" ht="15" outlineLevel="1" x14ac:dyDescent="0.25">
      <c r="C39" s="59" t="s">
        <v>44</v>
      </c>
      <c r="D39" s="59"/>
      <c r="E39" s="59"/>
      <c r="F39" s="59"/>
      <c r="G39" s="59"/>
      <c r="I39" s="26">
        <v>77</v>
      </c>
      <c r="K39" s="21" t="s">
        <v>45</v>
      </c>
    </row>
    <row r="40" spans="3:11" ht="15" outlineLevel="1" x14ac:dyDescent="0.25">
      <c r="C40" s="59"/>
      <c r="D40" s="59"/>
      <c r="E40" s="59"/>
      <c r="F40" s="59"/>
      <c r="G40" s="59"/>
      <c r="K40" s="21"/>
    </row>
    <row r="41" spans="3:11" ht="15" outlineLevel="1" x14ac:dyDescent="0.25">
      <c r="C41" s="59" t="s">
        <v>46</v>
      </c>
      <c r="D41" s="59"/>
      <c r="E41" s="59"/>
      <c r="F41" s="59"/>
      <c r="G41" s="59"/>
      <c r="I41" s="27">
        <f>I39</f>
        <v>77</v>
      </c>
      <c r="K41" s="21" t="str">
        <f>C41</f>
        <v>Line Total</v>
      </c>
    </row>
    <row r="42" spans="3:11" ht="15" outlineLevel="1" x14ac:dyDescent="0.25">
      <c r="C42" s="59"/>
      <c r="D42" s="59"/>
      <c r="E42" s="59"/>
      <c r="F42" s="59"/>
      <c r="G42" s="59"/>
      <c r="K42" s="21"/>
    </row>
    <row r="43" spans="3:11" ht="15" outlineLevel="1" x14ac:dyDescent="0.25">
      <c r="C43" s="59" t="s">
        <v>47</v>
      </c>
      <c r="D43" s="59"/>
      <c r="E43" s="59"/>
      <c r="F43" s="59"/>
      <c r="G43" s="59"/>
      <c r="I43" s="28">
        <v>365</v>
      </c>
      <c r="K43" s="21" t="str">
        <f>C43</f>
        <v>Parameter</v>
      </c>
    </row>
    <row r="44" spans="3:11" ht="15" outlineLevel="1" x14ac:dyDescent="0.25">
      <c r="C44" s="59"/>
      <c r="D44" s="59"/>
      <c r="E44" s="59"/>
      <c r="F44" s="59"/>
      <c r="G44" s="59"/>
      <c r="K44" s="21"/>
    </row>
    <row r="45" spans="3:11" ht="15" outlineLevel="1" x14ac:dyDescent="0.25">
      <c r="C45" s="59" t="s">
        <v>48</v>
      </c>
      <c r="D45" s="59"/>
      <c r="E45" s="59"/>
      <c r="F45" s="59"/>
      <c r="G45" s="59"/>
      <c r="I45" s="29" t="s">
        <v>49</v>
      </c>
      <c r="K45" s="21" t="str">
        <f>C45</f>
        <v>Range Name Description</v>
      </c>
    </row>
    <row r="46" spans="3:11" ht="15" outlineLevel="1" x14ac:dyDescent="0.25">
      <c r="C46" s="59"/>
      <c r="D46" s="59"/>
      <c r="E46" s="59"/>
      <c r="F46" s="59"/>
      <c r="G46" s="59"/>
      <c r="K46" s="21"/>
    </row>
    <row r="47" spans="3:11" ht="15" outlineLevel="1" x14ac:dyDescent="0.25">
      <c r="C47" s="59" t="s">
        <v>50</v>
      </c>
      <c r="D47" s="59"/>
      <c r="E47" s="59"/>
      <c r="F47" s="59"/>
      <c r="G47" s="59"/>
      <c r="I47" s="30">
        <f>ROW(C47)</f>
        <v>47</v>
      </c>
      <c r="K47" s="21" t="s">
        <v>51</v>
      </c>
    </row>
    <row r="48" spans="3:11" ht="15" outlineLevel="1" x14ac:dyDescent="0.25">
      <c r="C48" s="59"/>
      <c r="D48" s="59"/>
      <c r="E48" s="59"/>
      <c r="F48" s="59"/>
      <c r="G48" s="59"/>
      <c r="K48" s="21"/>
    </row>
    <row r="49" spans="2:13" ht="15" outlineLevel="1" x14ac:dyDescent="0.25">
      <c r="C49" s="59" t="s">
        <v>52</v>
      </c>
      <c r="D49" s="59"/>
      <c r="E49" s="59"/>
      <c r="F49" s="59"/>
      <c r="G49" s="59"/>
      <c r="I49" s="31">
        <f>I41</f>
        <v>77</v>
      </c>
      <c r="K49" s="21" t="str">
        <f>C49</f>
        <v>Row Summary</v>
      </c>
    </row>
    <row r="50" spans="2:13" ht="15" outlineLevel="1" x14ac:dyDescent="0.25">
      <c r="C50" s="59"/>
      <c r="D50" s="59"/>
      <c r="E50" s="59"/>
      <c r="F50" s="59"/>
      <c r="G50" s="59"/>
      <c r="K50" s="21"/>
    </row>
    <row r="51" spans="2:13" ht="15" outlineLevel="1" x14ac:dyDescent="0.25">
      <c r="C51" s="59" t="s">
        <v>53</v>
      </c>
      <c r="D51" s="59"/>
      <c r="E51" s="59"/>
      <c r="F51" s="59"/>
      <c r="G51" s="59"/>
      <c r="I51" s="32" t="s">
        <v>68</v>
      </c>
      <c r="K51" s="21" t="str">
        <f>C51</f>
        <v>Units</v>
      </c>
    </row>
    <row r="52" spans="2:13" ht="15" outlineLevel="1" x14ac:dyDescent="0.25">
      <c r="C52" s="59"/>
      <c r="D52" s="59"/>
      <c r="E52" s="59"/>
      <c r="F52" s="59"/>
      <c r="G52" s="59"/>
      <c r="K52" s="21"/>
    </row>
    <row r="53" spans="2:13" ht="15" outlineLevel="1" x14ac:dyDescent="0.25">
      <c r="C53" s="59" t="s">
        <v>54</v>
      </c>
      <c r="D53" s="59"/>
      <c r="E53" s="59"/>
      <c r="F53" s="59"/>
      <c r="G53" s="59"/>
      <c r="I53" s="33"/>
      <c r="K53" s="21" t="str">
        <f>C53</f>
        <v>WIP</v>
      </c>
    </row>
    <row r="54" spans="2:13" ht="15" outlineLevel="1" x14ac:dyDescent="0.25">
      <c r="C54" s="59"/>
      <c r="D54" s="59"/>
      <c r="E54" s="59"/>
      <c r="F54" s="59"/>
      <c r="G54" s="59"/>
      <c r="K54" s="21"/>
    </row>
    <row r="55" spans="2:13" outlineLevel="1" x14ac:dyDescent="0.2">
      <c r="C55" s="59"/>
      <c r="D55" s="59"/>
      <c r="E55" s="59"/>
      <c r="F55" s="59"/>
      <c r="G55" s="59"/>
    </row>
    <row r="56" spans="2:13" ht="16.5" thickBot="1" x14ac:dyDescent="0.3">
      <c r="B56" s="45">
        <f>MAX($B$5:$B55)+1</f>
        <v>3</v>
      </c>
      <c r="C56" s="2" t="s">
        <v>55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.75" outlineLevel="1" thickTop="1" x14ac:dyDescent="0.2"/>
    <row r="58" spans="2:13" outlineLevel="1" x14ac:dyDescent="0.2">
      <c r="C58" s="60" t="s">
        <v>27</v>
      </c>
      <c r="D58" s="60"/>
      <c r="E58" s="60"/>
      <c r="F58" s="60"/>
      <c r="G58" s="60"/>
      <c r="H58" s="13"/>
      <c r="I58" s="13" t="s">
        <v>28</v>
      </c>
      <c r="J58" s="13"/>
      <c r="K58" s="13" t="s">
        <v>29</v>
      </c>
    </row>
    <row r="59" spans="2:13" outlineLevel="1" x14ac:dyDescent="0.2"/>
    <row r="60" spans="2:13" ht="15" outlineLevel="1" x14ac:dyDescent="0.25">
      <c r="C60" s="59" t="s">
        <v>56</v>
      </c>
      <c r="D60" s="59"/>
      <c r="E60" s="59"/>
      <c r="F60" s="59"/>
      <c r="G60" s="59"/>
      <c r="I60" s="47">
        <v>123456.789</v>
      </c>
      <c r="K60" s="21" t="str">
        <f t="shared" ref="K60:K66" si="0">C60</f>
        <v>Comma</v>
      </c>
    </row>
    <row r="61" spans="2:13" ht="15" outlineLevel="1" x14ac:dyDescent="0.25">
      <c r="C61" s="59"/>
      <c r="D61" s="59"/>
      <c r="E61" s="59"/>
      <c r="F61" s="59"/>
      <c r="G61" s="59"/>
      <c r="K61" s="21"/>
    </row>
    <row r="62" spans="2:13" ht="15" outlineLevel="1" x14ac:dyDescent="0.25">
      <c r="C62" s="59" t="s">
        <v>57</v>
      </c>
      <c r="D62" s="59"/>
      <c r="E62" s="59"/>
      <c r="F62" s="59"/>
      <c r="G62" s="59"/>
      <c r="I62" s="34">
        <v>-123456.789</v>
      </c>
      <c r="K62" s="21" t="str">
        <f t="shared" si="0"/>
        <v>Comma [0]</v>
      </c>
    </row>
    <row r="63" spans="2:13" ht="15" outlineLevel="1" x14ac:dyDescent="0.25">
      <c r="C63" s="59"/>
      <c r="D63" s="59"/>
      <c r="E63" s="59"/>
      <c r="F63" s="59"/>
      <c r="G63" s="59"/>
      <c r="K63" s="21"/>
    </row>
    <row r="64" spans="2:13" ht="15" outlineLevel="1" x14ac:dyDescent="0.25">
      <c r="C64" s="59" t="s">
        <v>58</v>
      </c>
      <c r="D64" s="59"/>
      <c r="E64" s="59"/>
      <c r="F64" s="59"/>
      <c r="G64" s="59"/>
      <c r="I64" s="48">
        <v>123456.789</v>
      </c>
      <c r="K64" s="21" t="str">
        <f t="shared" si="0"/>
        <v>Currency</v>
      </c>
    </row>
    <row r="65" spans="3:11" ht="15" outlineLevel="1" x14ac:dyDescent="0.25">
      <c r="C65" s="59"/>
      <c r="D65" s="59"/>
      <c r="E65" s="59"/>
      <c r="F65" s="59"/>
      <c r="G65" s="59"/>
      <c r="K65" s="21"/>
    </row>
    <row r="66" spans="3:11" ht="15" outlineLevel="1" x14ac:dyDescent="0.25">
      <c r="C66" s="59" t="s">
        <v>59</v>
      </c>
      <c r="D66" s="59"/>
      <c r="E66" s="59"/>
      <c r="F66" s="59"/>
      <c r="G66" s="59"/>
      <c r="I66" s="49">
        <v>123456.789</v>
      </c>
      <c r="K66" s="21" t="str">
        <f t="shared" si="0"/>
        <v>Currency [0]</v>
      </c>
    </row>
    <row r="67" spans="3:11" ht="15" outlineLevel="1" x14ac:dyDescent="0.25">
      <c r="C67" s="59"/>
      <c r="D67" s="59"/>
      <c r="E67" s="59"/>
      <c r="F67" s="59"/>
      <c r="G67" s="59"/>
      <c r="K67" s="21"/>
    </row>
    <row r="68" spans="3:11" ht="15" outlineLevel="1" x14ac:dyDescent="0.25">
      <c r="C68" s="59" t="s">
        <v>60</v>
      </c>
      <c r="D68" s="59"/>
      <c r="E68" s="59"/>
      <c r="F68" s="59"/>
      <c r="G68" s="59"/>
      <c r="I68" s="50">
        <f ca="1">TODAY()</f>
        <v>45947</v>
      </c>
      <c r="K68" s="21" t="str">
        <f>C68</f>
        <v>Date</v>
      </c>
    </row>
    <row r="69" spans="3:11" ht="15" outlineLevel="1" x14ac:dyDescent="0.25">
      <c r="C69" s="59"/>
      <c r="D69" s="59"/>
      <c r="E69" s="59"/>
      <c r="F69" s="59"/>
      <c r="G69" s="59"/>
      <c r="K69" s="21"/>
    </row>
    <row r="70" spans="3:11" ht="15" outlineLevel="1" x14ac:dyDescent="0.25">
      <c r="C70" s="59" t="s">
        <v>61</v>
      </c>
      <c r="D70" s="59"/>
      <c r="E70" s="59"/>
      <c r="F70" s="59"/>
      <c r="G70" s="59"/>
      <c r="I70" s="51">
        <f ca="1">TODAY()</f>
        <v>45947</v>
      </c>
      <c r="K70" s="21" t="str">
        <f>C70</f>
        <v>Date Heading</v>
      </c>
    </row>
    <row r="71" spans="3:11" ht="15" outlineLevel="1" x14ac:dyDescent="0.25">
      <c r="C71" s="59"/>
      <c r="D71" s="59"/>
      <c r="E71" s="59"/>
      <c r="F71" s="59"/>
      <c r="G71" s="59"/>
      <c r="K71" s="21"/>
    </row>
    <row r="72" spans="3:11" ht="15" outlineLevel="1" x14ac:dyDescent="0.25">
      <c r="C72" s="59" t="s">
        <v>62</v>
      </c>
      <c r="D72" s="59"/>
      <c r="E72" s="59"/>
      <c r="F72" s="59"/>
      <c r="G72" s="59"/>
      <c r="I72" s="35">
        <v>-123456.789</v>
      </c>
      <c r="K72" s="21" t="str">
        <f>C72</f>
        <v>Numbers 0</v>
      </c>
    </row>
    <row r="73" spans="3:11" ht="15" outlineLevel="1" x14ac:dyDescent="0.25">
      <c r="C73" s="59"/>
      <c r="D73" s="59"/>
      <c r="E73" s="59"/>
      <c r="F73" s="59"/>
      <c r="G73" s="59"/>
      <c r="K73" s="21"/>
    </row>
    <row r="74" spans="3:11" ht="15" outlineLevel="1" x14ac:dyDescent="0.25">
      <c r="C74" s="59" t="s">
        <v>63</v>
      </c>
      <c r="D74" s="59"/>
      <c r="E74" s="59"/>
      <c r="F74" s="59"/>
      <c r="G74" s="59"/>
      <c r="I74" s="36">
        <v>0.5</v>
      </c>
      <c r="K74" s="21" t="str">
        <f>C74</f>
        <v>Percent</v>
      </c>
    </row>
    <row r="75" spans="3:11" outlineLevel="1" x14ac:dyDescent="0.2">
      <c r="C75" s="59"/>
      <c r="D75" s="59"/>
      <c r="E75" s="59"/>
      <c r="F75" s="59"/>
      <c r="G75" s="59"/>
    </row>
    <row r="76" spans="3:11" outlineLevel="1" x14ac:dyDescent="0.2">
      <c r="C76" s="59"/>
      <c r="D76" s="59"/>
      <c r="E76" s="59"/>
      <c r="F76" s="59"/>
      <c r="G76" s="59"/>
    </row>
    <row r="77" spans="3:11" x14ac:dyDescent="0.2">
      <c r="C77" s="59"/>
      <c r="D77" s="59"/>
      <c r="E77" s="59"/>
      <c r="F77" s="59"/>
      <c r="G77" s="59"/>
    </row>
    <row r="78" spans="3:11" x14ac:dyDescent="0.2">
      <c r="C78" s="59"/>
      <c r="D78" s="59"/>
      <c r="E78" s="59"/>
      <c r="F78" s="59"/>
      <c r="G78" s="59"/>
    </row>
    <row r="79" spans="3:11" x14ac:dyDescent="0.2">
      <c r="C79" s="59"/>
      <c r="D79" s="59"/>
      <c r="E79" s="59"/>
      <c r="F79" s="59"/>
      <c r="G79" s="59"/>
    </row>
    <row r="80" spans="3:11" x14ac:dyDescent="0.2">
      <c r="C80" s="59"/>
      <c r="D80" s="59"/>
      <c r="E80" s="59"/>
      <c r="F80" s="59"/>
      <c r="G80" s="59"/>
    </row>
    <row r="81" spans="3:7" x14ac:dyDescent="0.2">
      <c r="C81" s="59"/>
      <c r="D81" s="59"/>
      <c r="E81" s="59"/>
      <c r="F81" s="59"/>
      <c r="G81" s="59"/>
    </row>
  </sheetData>
  <mergeCells count="66">
    <mergeCell ref="C81:G81"/>
    <mergeCell ref="C75:G75"/>
    <mergeCell ref="C76:G76"/>
    <mergeCell ref="C77:G77"/>
    <mergeCell ref="C78:G78"/>
    <mergeCell ref="C79:G79"/>
    <mergeCell ref="C80:G80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</mergeCells>
  <conditionalFormatting sqref="I4">
    <cfRule type="cellIs" dxfId="14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</sheetPr>
  <dimension ref="A1:S33"/>
  <sheetViews>
    <sheetView showGridLines="0" zoomScaleNormal="100" workbookViewId="0">
      <pane ySplit="4" topLeftCell="A5" activePane="bottomLeft" state="frozen"/>
      <selection activeCell="A3" sqref="A3:E3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6" width="16.28515625" customWidth="1"/>
    <col min="7" max="7" width="14.42578125" customWidth="1"/>
    <col min="8" max="8" width="3" customWidth="1"/>
    <col min="9" max="18" width="9.140625" customWidth="1"/>
    <col min="19" max="19" width="1.7109375" customWidth="1"/>
    <col min="20" max="16384" width="9.140625" hidden="1"/>
  </cols>
  <sheetData>
    <row r="1" spans="1:18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Model Parameters</v>
      </c>
      <c r="J1" s="58"/>
      <c r="K1" s="58"/>
    </row>
    <row r="2" spans="1:18" ht="18" x14ac:dyDescent="0.25">
      <c r="A2" s="44" t="str">
        <f ca="1">Model_Name</f>
        <v>SP Bubble Pies.xlsm</v>
      </c>
    </row>
    <row r="3" spans="1:18" x14ac:dyDescent="0.2">
      <c r="A3" s="58" t="s">
        <v>1</v>
      </c>
      <c r="B3" s="58"/>
      <c r="C3" s="58"/>
      <c r="D3" s="58"/>
      <c r="E3" s="58"/>
    </row>
    <row r="4" spans="1:18" ht="14.25" x14ac:dyDescent="0.2">
      <c r="E4" t="s">
        <v>2</v>
      </c>
      <c r="I4" s="1">
        <f>Overall_Error_Check</f>
        <v>0</v>
      </c>
    </row>
    <row r="6" spans="1:18" ht="16.5" thickBot="1" x14ac:dyDescent="0.3">
      <c r="B6" s="45">
        <f>MAX($B$5:$B5)+1</f>
        <v>1</v>
      </c>
      <c r="C6" s="2" t="s">
        <v>3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.75" outlineLevel="1" thickTop="1" x14ac:dyDescent="0.2"/>
    <row r="8" spans="1:18" ht="16.5" outlineLevel="1" x14ac:dyDescent="0.25">
      <c r="C8" s="3" t="s">
        <v>4</v>
      </c>
    </row>
    <row r="9" spans="1:18" ht="16.5" outlineLevel="1" x14ac:dyDescent="0.25">
      <c r="C9" s="3"/>
    </row>
    <row r="10" spans="1:18" ht="16.5" outlineLevel="1" x14ac:dyDescent="0.25">
      <c r="C10" s="3"/>
      <c r="E10" s="4" t="s">
        <v>3</v>
      </c>
    </row>
    <row r="11" spans="1:18" outlineLevel="1" x14ac:dyDescent="0.2">
      <c r="E11" t="s">
        <v>5</v>
      </c>
      <c r="G11" s="61" t="str">
        <f ca="1">IF(ISERROR(OR(FIND("[",CELL("filename",A1)),FIND("]",CELL("filename",A1)))),"",MID(CELL("filename",A1),FIND("[",CELL("filename",A1))+1,FIND("]",CELL("filename",A1))-FIND("[",CELL("filename",A1))-1))</f>
        <v>SP Bubble Pies.xlsm</v>
      </c>
      <c r="H11" s="61"/>
      <c r="I11" s="61"/>
      <c r="J11" s="61"/>
      <c r="K11" s="61"/>
      <c r="L11" s="61"/>
      <c r="M11" s="61"/>
      <c r="N11" s="61"/>
    </row>
    <row r="12" spans="1:18" outlineLevel="1" x14ac:dyDescent="0.2">
      <c r="E12" t="s">
        <v>6</v>
      </c>
      <c r="G12" s="62" t="s">
        <v>80</v>
      </c>
      <c r="H12" s="62"/>
      <c r="I12" s="62"/>
      <c r="J12" s="62"/>
      <c r="K12" s="62"/>
      <c r="L12" s="62"/>
      <c r="M12" s="62"/>
      <c r="N12" s="62"/>
    </row>
    <row r="13" spans="1:18" outlineLevel="1" x14ac:dyDescent="0.2"/>
    <row r="14" spans="1:18" outlineLevel="1" x14ac:dyDescent="0.2"/>
    <row r="15" spans="1:18" ht="16.5" thickBot="1" x14ac:dyDescent="0.3">
      <c r="B15" s="45">
        <f>MAX($B$5:$B14)+1</f>
        <v>2</v>
      </c>
      <c r="C15" s="2" t="s">
        <v>7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.75" outlineLevel="1" thickTop="1" x14ac:dyDescent="0.2"/>
    <row r="17" spans="3:7" ht="16.5" outlineLevel="1" x14ac:dyDescent="0.25">
      <c r="C17" s="3" t="s">
        <v>8</v>
      </c>
    </row>
    <row r="18" spans="3:7" outlineLevel="1" x14ac:dyDescent="0.2"/>
    <row r="19" spans="3:7" outlineLevel="1" x14ac:dyDescent="0.2">
      <c r="E19" t="s">
        <v>9</v>
      </c>
      <c r="G19" s="5">
        <v>365</v>
      </c>
    </row>
    <row r="20" spans="3:7" outlineLevel="1" x14ac:dyDescent="0.2">
      <c r="E20" t="s">
        <v>10</v>
      </c>
      <c r="G20" s="5">
        <v>1</v>
      </c>
    </row>
    <row r="21" spans="3:7" outlineLevel="1" x14ac:dyDescent="0.2">
      <c r="E21" t="s">
        <v>11</v>
      </c>
      <c r="G21" s="5">
        <v>3</v>
      </c>
    </row>
    <row r="22" spans="3:7" outlineLevel="1" x14ac:dyDescent="0.2">
      <c r="E22" t="s">
        <v>12</v>
      </c>
      <c r="G22" s="5">
        <v>6</v>
      </c>
    </row>
    <row r="23" spans="3:7" outlineLevel="1" x14ac:dyDescent="0.2">
      <c r="E23" t="s">
        <v>13</v>
      </c>
      <c r="G23" s="5">
        <v>12</v>
      </c>
    </row>
    <row r="24" spans="3:7" outlineLevel="1" x14ac:dyDescent="0.2">
      <c r="E24" t="s">
        <v>14</v>
      </c>
      <c r="G24" s="5">
        <v>4</v>
      </c>
    </row>
    <row r="25" spans="3:7" outlineLevel="1" x14ac:dyDescent="0.2"/>
    <row r="26" spans="3:7" outlineLevel="1" x14ac:dyDescent="0.2">
      <c r="E26" t="s">
        <v>15</v>
      </c>
      <c r="G26" s="5">
        <v>5</v>
      </c>
    </row>
    <row r="27" spans="3:7" outlineLevel="1" x14ac:dyDescent="0.2"/>
    <row r="28" spans="3:7" outlineLevel="1" x14ac:dyDescent="0.2">
      <c r="E28" t="s">
        <v>16</v>
      </c>
      <c r="G28" s="6">
        <v>9.9999999999999997E+98</v>
      </c>
    </row>
    <row r="29" spans="3:7" outlineLevel="1" x14ac:dyDescent="0.2">
      <c r="E29" t="s">
        <v>17</v>
      </c>
      <c r="G29" s="6">
        <v>1E-8</v>
      </c>
    </row>
    <row r="30" spans="3:7" outlineLevel="1" x14ac:dyDescent="0.2"/>
    <row r="31" spans="3:7" outlineLevel="1" x14ac:dyDescent="0.2">
      <c r="E31" t="s">
        <v>18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13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outlinePr summaryBelow="0"/>
  </sheetPr>
  <dimension ref="A1:O21"/>
  <sheetViews>
    <sheetView showGridLines="0" workbookViewId="0">
      <pane ySplit="9" topLeftCell="A10" activePane="bottomLeft" state="frozen"/>
      <selection pane="bottomLeft" activeCell="A3" sqref="A3:E3"/>
    </sheetView>
  </sheetViews>
  <sheetFormatPr defaultRowHeight="12" outlineLevelRow="1" x14ac:dyDescent="0.2"/>
  <cols>
    <col min="1" max="5" width="3.7109375" customWidth="1"/>
    <col min="7" max="7" width="22.140625" customWidth="1"/>
    <col min="8" max="8" width="10.7109375" customWidth="1"/>
    <col min="10" max="14" width="10.7109375" customWidth="1"/>
  </cols>
  <sheetData>
    <row r="1" spans="1:15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Timing</v>
      </c>
    </row>
    <row r="2" spans="1:15" ht="18" x14ac:dyDescent="0.25">
      <c r="A2" s="44" t="str">
        <f ca="1">Model_Name</f>
        <v>SP Bubble Pies.xlsm</v>
      </c>
    </row>
    <row r="3" spans="1:15" x14ac:dyDescent="0.2">
      <c r="A3" s="58" t="s">
        <v>1</v>
      </c>
      <c r="B3" s="58"/>
      <c r="C3" s="58"/>
      <c r="D3" s="58"/>
      <c r="E3" s="58"/>
    </row>
    <row r="4" spans="1:15" ht="14.25" x14ac:dyDescent="0.2">
      <c r="B4" t="s">
        <v>2</v>
      </c>
      <c r="F4" s="1">
        <f>Overall_Error_Check</f>
        <v>0</v>
      </c>
    </row>
    <row r="5" spans="1:15" x14ac:dyDescent="0.2">
      <c r="J5" s="39">
        <f ca="1">J$7</f>
        <v>46022</v>
      </c>
      <c r="K5" s="39">
        <f ca="1">K$7</f>
        <v>46112</v>
      </c>
      <c r="L5" s="39">
        <f ca="1">L$7</f>
        <v>46203</v>
      </c>
      <c r="M5" s="39">
        <f ca="1">M$7</f>
        <v>46295</v>
      </c>
      <c r="N5" s="39">
        <f ca="1">N$7</f>
        <v>46387</v>
      </c>
    </row>
    <row r="6" spans="1:15" outlineLevel="1" x14ac:dyDescent="0.2">
      <c r="C6" t="s">
        <v>70</v>
      </c>
      <c r="J6" s="38">
        <f ca="1">IF(J$9=1,Model_Start_Date,I$7+1)</f>
        <v>45947</v>
      </c>
      <c r="K6" s="38">
        <f ca="1">IF(K$9=1,Model_Start_Date,J$7+1)</f>
        <v>46023</v>
      </c>
      <c r="L6" s="38">
        <f ca="1">IF(L$9=1,Model_Start_Date,K$7+1)</f>
        <v>46113</v>
      </c>
      <c r="M6" s="38">
        <f ca="1">IF(M$9=1,Model_Start_Date,L$7+1)</f>
        <v>46204</v>
      </c>
      <c r="N6" s="38">
        <f ca="1">IF(N$9=1,Model_Start_Date,M$7+1)</f>
        <v>46296</v>
      </c>
    </row>
    <row r="7" spans="1:15" outlineLevel="1" x14ac:dyDescent="0.2">
      <c r="C7" t="s">
        <v>71</v>
      </c>
      <c r="J7" s="38">
        <f ca="1">EOMONTH(J$6,MOD(Periodicity+Reporting_Month_Factor-MONTH(J$6),Periodicity))</f>
        <v>46022</v>
      </c>
      <c r="K7" s="38">
        <f ca="1">EOMONTH(K$6,MOD(Periodicity+Reporting_Month_Factor-MONTH(K$6),Periodicity))</f>
        <v>46112</v>
      </c>
      <c r="L7" s="38">
        <f ca="1">EOMONTH(L$6,MOD(Periodicity+Reporting_Month_Factor-MONTH(L$6),Periodicity))</f>
        <v>46203</v>
      </c>
      <c r="M7" s="38">
        <f ca="1">EOMONTH(M$6,MOD(Periodicity+Reporting_Month_Factor-MONTH(M$6),Periodicity))</f>
        <v>46295</v>
      </c>
      <c r="N7" s="38">
        <f ca="1">EOMONTH(N$6,MOD(Periodicity+Reporting_Month_Factor-MONTH(N$6),Periodicity))</f>
        <v>46387</v>
      </c>
    </row>
    <row r="8" spans="1:15" outlineLevel="1" x14ac:dyDescent="0.2">
      <c r="C8" t="s">
        <v>73</v>
      </c>
      <c r="J8" s="34">
        <f ca="1">J7-J6+1</f>
        <v>76</v>
      </c>
      <c r="K8" s="34">
        <f t="shared" ref="K8:N8" ca="1" si="0">K7-K6+1</f>
        <v>90</v>
      </c>
      <c r="L8" s="34">
        <f t="shared" ca="1" si="0"/>
        <v>91</v>
      </c>
      <c r="M8" s="34">
        <f t="shared" ca="1" si="0"/>
        <v>92</v>
      </c>
      <c r="N8" s="34">
        <f t="shared" ca="1" si="0"/>
        <v>92</v>
      </c>
    </row>
    <row r="9" spans="1:15" ht="15" outlineLevel="1" x14ac:dyDescent="0.25">
      <c r="C9" t="s">
        <v>72</v>
      </c>
      <c r="I9" s="23"/>
      <c r="J9" s="34">
        <f>N(I$9)+1</f>
        <v>1</v>
      </c>
      <c r="K9" s="34">
        <f t="shared" ref="K9:N9" si="1">N(J$9)+1</f>
        <v>2</v>
      </c>
      <c r="L9" s="34">
        <f t="shared" si="1"/>
        <v>3</v>
      </c>
      <c r="M9" s="34">
        <f t="shared" si="1"/>
        <v>4</v>
      </c>
      <c r="N9" s="34">
        <f t="shared" si="1"/>
        <v>5</v>
      </c>
    </row>
    <row r="10" spans="1:15" x14ac:dyDescent="0.2">
      <c r="A10" s="11"/>
    </row>
    <row r="11" spans="1:15" ht="16.5" thickBot="1" x14ac:dyDescent="0.3">
      <c r="B11" s="45">
        <f>MAX($B$10:$B10)+1</f>
        <v>1</v>
      </c>
      <c r="C11" s="41" t="s">
        <v>74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12.75" thickTop="1" x14ac:dyDescent="0.2"/>
    <row r="13" spans="1:15" ht="16.5" x14ac:dyDescent="0.25">
      <c r="C13" s="3" t="s">
        <v>75</v>
      </c>
    </row>
    <row r="15" spans="1:15" x14ac:dyDescent="0.2">
      <c r="D15" t="s">
        <v>76</v>
      </c>
      <c r="H15" s="52">
        <f ca="1">TODAY()</f>
        <v>45947</v>
      </c>
    </row>
    <row r="17" spans="4:9" x14ac:dyDescent="0.2">
      <c r="D17" t="s">
        <v>77</v>
      </c>
      <c r="H17" s="46">
        <v>3</v>
      </c>
    </row>
    <row r="19" spans="4:9" x14ac:dyDescent="0.2">
      <c r="D19" t="s">
        <v>78</v>
      </c>
      <c r="H19" s="46">
        <v>12</v>
      </c>
      <c r="I19" s="19" t="str">
        <f ca="1">"e.g. "&amp;TEXT(DATE(YEAR(Model_Start_Date)+IF(Example_Reporting_Month&lt;MONTH(Model_Start_Date),1,0),Example_Reporting_Month+1,1)-1,"dd-Mmm-yy")</f>
        <v>e.g. 31-Dec-25</v>
      </c>
    </row>
    <row r="21" spans="4:9" x14ac:dyDescent="0.2">
      <c r="D21" t="s">
        <v>79</v>
      </c>
      <c r="H21" s="35">
        <f>MOD(Example_Reporting_Month-1,Periodicity)+1</f>
        <v>3</v>
      </c>
    </row>
  </sheetData>
  <mergeCells count="1">
    <mergeCell ref="A3:E3"/>
  </mergeCells>
  <conditionalFormatting sqref="F4">
    <cfRule type="cellIs" dxfId="12" priority="1" operator="notEqual">
      <formula>0</formula>
    </cfRule>
  </conditionalFormatting>
  <dataValidations count="1">
    <dataValidation type="list" allowBlank="1" showInputMessage="1" showErrorMessage="1" sqref="H17" xr:uid="{00000000-0002-0000-0400-000000000000}">
      <formula1>"1,2,3,4,6,12"</formula1>
    </dataValidation>
  </dataValidations>
  <hyperlinks>
    <hyperlink ref="F4" location="Overall_Error_Check" tooltip="Go to Overall Error Check" display="Overall_Error_Check" xr:uid="{00000000-0004-0000-0400-000000000000}"/>
    <hyperlink ref="A3:E3" location="HL_Navigator" tooltip="Go to Navigator (Table of Contents)" display="Navigator" xr:uid="{00000000-0004-0000-0400-000001000000}"/>
    <hyperlink ref="A3" location="HL_Navigator" display="Navigator" xr:uid="{00000000-0004-0000-0400-00000200000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outlinePr summaryBelow="0"/>
  </sheetPr>
  <dimension ref="A1:R19"/>
  <sheetViews>
    <sheetView showGridLines="0" workbookViewId="0">
      <pane ySplit="4" topLeftCell="A5" activePane="bottomLeft" state="frozen"/>
      <selection pane="bottomLeft" activeCell="A3" sqref="A3:E3"/>
    </sheetView>
  </sheetViews>
  <sheetFormatPr defaultColWidth="0" defaultRowHeight="12" outlineLevelRow="1" x14ac:dyDescent="0.2"/>
  <cols>
    <col min="1" max="5" width="3.7109375" customWidth="1"/>
    <col min="6" max="12" width="9.140625" customWidth="1"/>
    <col min="13" max="18" width="0" hidden="1" customWidth="1"/>
    <col min="19" max="16384" width="9.140625" hidden="1"/>
  </cols>
  <sheetData>
    <row r="1" spans="1:11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Error Checks</v>
      </c>
    </row>
    <row r="2" spans="1:11" ht="18" x14ac:dyDescent="0.25">
      <c r="A2" s="44" t="str">
        <f ca="1">Model_Name</f>
        <v>SP Bubble Pies.xlsm</v>
      </c>
    </row>
    <row r="3" spans="1:11" x14ac:dyDescent="0.2">
      <c r="A3" s="58" t="s">
        <v>1</v>
      </c>
      <c r="B3" s="58"/>
      <c r="C3" s="58"/>
      <c r="D3" s="58"/>
      <c r="E3" s="58"/>
    </row>
    <row r="4" spans="1:11" ht="14.25" x14ac:dyDescent="0.2">
      <c r="B4" t="s">
        <v>2</v>
      </c>
      <c r="F4" s="1">
        <f>Overall_Error_Check</f>
        <v>0</v>
      </c>
    </row>
    <row r="5" spans="1:11" x14ac:dyDescent="0.2">
      <c r="A5" s="11"/>
    </row>
    <row r="6" spans="1:11" ht="16.5" thickBot="1" x14ac:dyDescent="0.3">
      <c r="B6" s="45">
        <f>MAX($B$5:$B5)+1</f>
        <v>1</v>
      </c>
      <c r="C6" s="2" t="s">
        <v>64</v>
      </c>
      <c r="D6" s="2"/>
      <c r="E6" s="2"/>
      <c r="F6" s="2"/>
      <c r="G6" s="2"/>
      <c r="H6" s="2"/>
      <c r="I6" s="2"/>
      <c r="J6" s="2"/>
      <c r="K6" s="2"/>
    </row>
    <row r="7" spans="1:11" ht="12.75" outlineLevel="1" thickTop="1" x14ac:dyDescent="0.2"/>
    <row r="8" spans="1:11" ht="16.5" outlineLevel="1" x14ac:dyDescent="0.25">
      <c r="C8" s="3" t="s">
        <v>65</v>
      </c>
    </row>
    <row r="9" spans="1:11" ht="16.5" outlineLevel="1" x14ac:dyDescent="0.25">
      <c r="C9" s="3"/>
    </row>
    <row r="10" spans="1:11" ht="16.5" outlineLevel="1" x14ac:dyDescent="0.25">
      <c r="C10" s="3"/>
      <c r="D10" s="4" t="s">
        <v>66</v>
      </c>
    </row>
    <row r="11" spans="1:11" outlineLevel="1" x14ac:dyDescent="0.2"/>
    <row r="12" spans="1:11" ht="14.25" outlineLevel="1" x14ac:dyDescent="0.2">
      <c r="E12" t="s">
        <v>67</v>
      </c>
      <c r="I12" s="37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11" ht="15" outlineLevel="1" x14ac:dyDescent="0.25">
      <c r="E17" s="4" t="str">
        <f>C8</f>
        <v>Summary of Errors</v>
      </c>
      <c r="I17" s="1">
        <f>MIN(1,SUM(I11:I15))</f>
        <v>0</v>
      </c>
      <c r="K17" s="11"/>
    </row>
    <row r="18" spans="5:11" outlineLevel="1" x14ac:dyDescent="0.2"/>
    <row r="19" spans="5:11" outlineLevel="1" x14ac:dyDescent="0.2"/>
  </sheetData>
  <mergeCells count="1">
    <mergeCell ref="A3:E3"/>
  </mergeCells>
  <conditionalFormatting sqref="I17">
    <cfRule type="cellIs" dxfId="11" priority="5" operator="notEqual">
      <formula>0</formula>
    </cfRule>
  </conditionalFormatting>
  <conditionalFormatting sqref="I12">
    <cfRule type="cellIs" dxfId="10" priority="4" operator="notEqual">
      <formula>0</formula>
    </cfRule>
  </conditionalFormatting>
  <conditionalFormatting sqref="I12">
    <cfRule type="cellIs" dxfId="9" priority="3" operator="notEqual">
      <formula>0</formula>
    </cfRule>
  </conditionalFormatting>
  <conditionalFormatting sqref="F4">
    <cfRule type="cellIs" dxfId="8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72"/>
  <sheetViews>
    <sheetView showGridLines="0" tabSelected="1" workbookViewId="0">
      <pane ySplit="4" topLeftCell="A7" activePane="bottomLeft" state="frozen"/>
      <selection pane="bottomLeft" activeCell="D9" sqref="D9:E15"/>
    </sheetView>
  </sheetViews>
  <sheetFormatPr defaultRowHeight="12" x14ac:dyDescent="0.2"/>
  <cols>
    <col min="1" max="2" width="3.7109375" customWidth="1"/>
    <col min="3" max="5" width="10.7109375" customWidth="1"/>
    <col min="6" max="6" width="12.7109375" customWidth="1"/>
    <col min="7" max="7" width="27" customWidth="1"/>
    <col min="8" max="8" width="21.5703125" customWidth="1"/>
    <col min="9" max="9" width="24.42578125" customWidth="1"/>
    <col min="10" max="10" width="30.28515625" customWidth="1"/>
    <col min="11" max="11" width="26.7109375" customWidth="1"/>
  </cols>
  <sheetData>
    <row r="1" spans="1:13" ht="20.25" x14ac:dyDescent="0.3">
      <c r="A1" s="43" t="str">
        <f ca="1">IF(ISERROR(RIGHT(CELL("filename",A1),LEN(CELL("filename",A1))-FIND("]",CELL("filename",A1)))),
"",
RIGHT(CELL("filename",A1),LEN(CELL("filename",A1))-FIND("]",CELL("filename",A1))))</f>
        <v>Bubble Pies</v>
      </c>
      <c r="K1" s="11"/>
    </row>
    <row r="2" spans="1:13" ht="18" x14ac:dyDescent="0.25">
      <c r="A2" s="44" t="str">
        <f ca="1">Model_Name</f>
        <v>SP Bubble Pies.xlsm</v>
      </c>
    </row>
    <row r="3" spans="1:13" x14ac:dyDescent="0.2">
      <c r="A3" s="58" t="s">
        <v>1</v>
      </c>
      <c r="B3" s="58"/>
      <c r="C3" s="58"/>
      <c r="D3" s="58"/>
      <c r="E3" s="58"/>
    </row>
    <row r="4" spans="1:13" ht="14.25" x14ac:dyDescent="0.2">
      <c r="B4" t="s">
        <v>2</v>
      </c>
      <c r="F4" s="1">
        <f>Overall_Error_Check</f>
        <v>0</v>
      </c>
    </row>
    <row r="5" spans="1:13" x14ac:dyDescent="0.2">
      <c r="A5" s="11"/>
    </row>
    <row r="6" spans="1:13" ht="16.5" thickBot="1" x14ac:dyDescent="0.3">
      <c r="B6" s="45">
        <f>MAX($B$5:$B5)+1</f>
        <v>1</v>
      </c>
      <c r="C6" s="2" t="str">
        <f ca="1">A1</f>
        <v>Bubble Pies</v>
      </c>
      <c r="D6" s="2"/>
      <c r="E6" s="2"/>
      <c r="F6" s="2"/>
      <c r="G6" s="2"/>
      <c r="H6" s="2"/>
      <c r="I6" s="2"/>
      <c r="J6" s="2"/>
      <c r="K6" s="2"/>
      <c r="L6" s="2"/>
    </row>
    <row r="7" spans="1:13" ht="12.75" thickTop="1" x14ac:dyDescent="0.2"/>
    <row r="8" spans="1:13" x14ac:dyDescent="0.2">
      <c r="C8" s="13" t="s">
        <v>83</v>
      </c>
      <c r="D8" s="13" t="s">
        <v>89</v>
      </c>
      <c r="E8" s="13" t="s">
        <v>90</v>
      </c>
      <c r="F8" s="13" t="s">
        <v>91</v>
      </c>
      <c r="G8" s="13" t="s">
        <v>98</v>
      </c>
      <c r="H8" s="13" t="s">
        <v>92</v>
      </c>
      <c r="I8" s="13" t="s">
        <v>93</v>
      </c>
    </row>
    <row r="9" spans="1:13" x14ac:dyDescent="0.2">
      <c r="C9" s="20" t="s">
        <v>84</v>
      </c>
      <c r="D9" s="53">
        <v>1</v>
      </c>
      <c r="E9" s="53">
        <v>5</v>
      </c>
      <c r="F9" s="53">
        <v>5</v>
      </c>
      <c r="G9" s="55">
        <v>484</v>
      </c>
      <c r="H9" s="55">
        <v>448</v>
      </c>
      <c r="I9" s="55">
        <v>286</v>
      </c>
      <c r="K9" s="56">
        <f>Data[[#This Row],[Agriculture]]/SUM(Data[[#This Row],[Agriculture]:[Services]])*100</f>
        <v>39.737274220032845</v>
      </c>
      <c r="L9" s="56">
        <f>Data[[#This Row],[Industrial]]/SUM(Data[[#This Row],[Agriculture]:[Services]])*100</f>
        <v>36.781609195402297</v>
      </c>
      <c r="M9" s="56">
        <f>Data[[#This Row],[Services]]/SUM(Data[[#This Row],[Agriculture]:[Services]])*100</f>
        <v>23.481116584564859</v>
      </c>
    </row>
    <row r="10" spans="1:13" x14ac:dyDescent="0.2">
      <c r="C10" s="20" t="s">
        <v>85</v>
      </c>
      <c r="D10" s="53">
        <v>3</v>
      </c>
      <c r="E10" s="53">
        <v>10</v>
      </c>
      <c r="F10" s="53">
        <v>3</v>
      </c>
      <c r="G10" s="55">
        <v>437</v>
      </c>
      <c r="H10" s="55">
        <v>177</v>
      </c>
      <c r="I10" s="55">
        <v>107</v>
      </c>
      <c r="K10" s="56">
        <f>Data[[#This Row],[Agriculture]]/SUM(Data[[#This Row],[Agriculture]:[Services]])*100</f>
        <v>60.610263522884878</v>
      </c>
      <c r="L10" s="56">
        <f>Data[[#This Row],[Industrial]]/SUM(Data[[#This Row],[Agriculture]:[Services]])*100</f>
        <v>24.549237170596395</v>
      </c>
      <c r="M10" s="56">
        <f>Data[[#This Row],[Services]]/SUM(Data[[#This Row],[Agriculture]:[Services]])*100</f>
        <v>14.840499306518723</v>
      </c>
    </row>
    <row r="11" spans="1:13" x14ac:dyDescent="0.2">
      <c r="C11" s="20" t="s">
        <v>86</v>
      </c>
      <c r="D11" s="53">
        <v>8</v>
      </c>
      <c r="E11" s="53">
        <v>5</v>
      </c>
      <c r="F11" s="53">
        <v>5</v>
      </c>
      <c r="G11" s="55">
        <v>231</v>
      </c>
      <c r="H11" s="55">
        <v>363</v>
      </c>
      <c r="I11" s="55">
        <v>111</v>
      </c>
      <c r="K11" s="56">
        <f>Data[[#This Row],[Agriculture]]/SUM(Data[[#This Row],[Agriculture]:[Services]])*100</f>
        <v>32.765957446808507</v>
      </c>
      <c r="L11" s="56">
        <f>Data[[#This Row],[Industrial]]/SUM(Data[[#This Row],[Agriculture]:[Services]])*100</f>
        <v>51.489361702127653</v>
      </c>
      <c r="M11" s="56">
        <f>Data[[#This Row],[Services]]/SUM(Data[[#This Row],[Agriculture]:[Services]])*100</f>
        <v>15.74468085106383</v>
      </c>
    </row>
    <row r="12" spans="1:13" x14ac:dyDescent="0.2">
      <c r="C12" s="20" t="s">
        <v>87</v>
      </c>
      <c r="D12" s="53">
        <v>6</v>
      </c>
      <c r="E12" s="53">
        <v>6</v>
      </c>
      <c r="F12" s="53">
        <v>3</v>
      </c>
      <c r="G12" s="55">
        <v>108</v>
      </c>
      <c r="H12" s="55">
        <v>293</v>
      </c>
      <c r="I12" s="55">
        <v>308</v>
      </c>
      <c r="K12" s="56">
        <f>Data[[#This Row],[Agriculture]]/SUM(Data[[#This Row],[Agriculture]:[Services]])*100</f>
        <v>15.232722143864599</v>
      </c>
      <c r="L12" s="56">
        <f>Data[[#This Row],[Industrial]]/SUM(Data[[#This Row],[Agriculture]:[Services]])*100</f>
        <v>41.325811001410443</v>
      </c>
      <c r="M12" s="56">
        <f>Data[[#This Row],[Services]]/SUM(Data[[#This Row],[Agriculture]:[Services]])*100</f>
        <v>43.441466854724965</v>
      </c>
    </row>
    <row r="13" spans="1:13" x14ac:dyDescent="0.2">
      <c r="C13" s="54" t="s">
        <v>88</v>
      </c>
      <c r="D13" s="53">
        <v>2</v>
      </c>
      <c r="E13" s="53">
        <v>3</v>
      </c>
      <c r="F13" s="53">
        <v>1</v>
      </c>
      <c r="G13" s="55">
        <v>449</v>
      </c>
      <c r="H13" s="55">
        <v>409</v>
      </c>
      <c r="I13" s="55">
        <v>491</v>
      </c>
      <c r="K13" s="56">
        <f>Data[[#This Row],[Agriculture]]/SUM(Data[[#This Row],[Agriculture]:[Services]])*100</f>
        <v>33.283914010378055</v>
      </c>
      <c r="L13" s="56">
        <f>Data[[#This Row],[Industrial]]/SUM(Data[[#This Row],[Agriculture]:[Services]])*100</f>
        <v>30.318754633061531</v>
      </c>
      <c r="M13" s="56">
        <f>Data[[#This Row],[Services]]/SUM(Data[[#This Row],[Agriculture]:[Services]])*100</f>
        <v>36.397331356560414</v>
      </c>
    </row>
    <row r="14" spans="1:13" x14ac:dyDescent="0.2">
      <c r="C14" s="54" t="s">
        <v>94</v>
      </c>
      <c r="D14" s="53">
        <v>3</v>
      </c>
      <c r="E14" s="53">
        <v>2</v>
      </c>
      <c r="F14" s="53">
        <v>1</v>
      </c>
      <c r="G14" s="55">
        <v>382</v>
      </c>
      <c r="H14" s="55">
        <v>458</v>
      </c>
      <c r="I14" s="55">
        <v>480</v>
      </c>
      <c r="K14" s="56">
        <f>Data[[#This Row],[Agriculture]]/SUM(Data[[#This Row],[Agriculture]:[Services]])*100</f>
        <v>28.939393939393938</v>
      </c>
      <c r="L14" s="56">
        <f>Data[[#This Row],[Industrial]]/SUM(Data[[#This Row],[Agriculture]:[Services]])*100</f>
        <v>34.696969696969695</v>
      </c>
      <c r="M14" s="56">
        <f>Data[[#This Row],[Services]]/SUM(Data[[#This Row],[Agriculture]:[Services]])*100</f>
        <v>36.363636363636367</v>
      </c>
    </row>
    <row r="15" spans="1:13" x14ac:dyDescent="0.2">
      <c r="C15" s="54" t="s">
        <v>95</v>
      </c>
      <c r="D15" s="53">
        <v>4</v>
      </c>
      <c r="E15" s="53">
        <v>4</v>
      </c>
      <c r="F15" s="53">
        <v>5</v>
      </c>
      <c r="G15" s="55">
        <v>425</v>
      </c>
      <c r="H15" s="55">
        <v>150</v>
      </c>
      <c r="I15" s="55">
        <v>379</v>
      </c>
      <c r="K15" s="56">
        <f>Data[[#This Row],[Agriculture]]/SUM(Data[[#This Row],[Agriculture]:[Services]])*100</f>
        <v>44.549266247379457</v>
      </c>
      <c r="L15" s="56">
        <f>Data[[#This Row],[Industrial]]/SUM(Data[[#This Row],[Agriculture]:[Services]])*100</f>
        <v>15.723270440251572</v>
      </c>
      <c r="M15" s="56">
        <f>Data[[#This Row],[Services]]/SUM(Data[[#This Row],[Agriculture]:[Services]])*100</f>
        <v>39.727463312368968</v>
      </c>
    </row>
    <row r="16" spans="1:13" x14ac:dyDescent="0.2">
      <c r="F16" s="38"/>
    </row>
    <row r="17" spans="6:6" x14ac:dyDescent="0.2">
      <c r="F17" s="38"/>
    </row>
    <row r="18" spans="6:6" x14ac:dyDescent="0.2">
      <c r="F18" s="38"/>
    </row>
    <row r="19" spans="6:6" x14ac:dyDescent="0.2">
      <c r="F19" s="38"/>
    </row>
    <row r="20" spans="6:6" x14ac:dyDescent="0.2">
      <c r="F20" s="38"/>
    </row>
    <row r="21" spans="6:6" x14ac:dyDescent="0.2">
      <c r="F21" s="38"/>
    </row>
    <row r="22" spans="6:6" x14ac:dyDescent="0.2">
      <c r="F22" s="38"/>
    </row>
    <row r="44" spans="3:11" x14ac:dyDescent="0.2">
      <c r="C44" t="s">
        <v>99</v>
      </c>
      <c r="D44" cm="1" vm="1">
        <f t="array" ref="D44">_xlfn._xlws.PY(0,1)</f>
        <v>0</v>
      </c>
    </row>
    <row r="45" spans="3:11" x14ac:dyDescent="0.2">
      <c r="C45" t="s">
        <v>100</v>
      </c>
      <c r="D45" t="e" cm="1" vm="2">
        <f t="array" ref="D45">_xlfn._xlws.PY(1,1,Data[[#Headers],[Agriculture]:[Services]],Data[[X]:[Y]],Data[Market Size],K9:M15)</f>
        <v>#VALUE!</v>
      </c>
    </row>
    <row r="46" spans="3:11" x14ac:dyDescent="0.2">
      <c r="D46" t="e" cm="1" vm="3">
        <f t="array" ref="D46">_xlfn._xlws.PY(2,1)</f>
        <v>#VALUE!</v>
      </c>
      <c r="E46" s="63" t="e" cm="1" vm="4">
        <f t="array" ref="E46">_FV(D46,"image")</f>
        <v>#VALUE!</v>
      </c>
      <c r="F46" s="63"/>
      <c r="G46" s="63"/>
      <c r="H46" s="63"/>
      <c r="I46" s="63"/>
      <c r="J46" s="63"/>
      <c r="K46" s="63"/>
    </row>
    <row r="47" spans="3:11" x14ac:dyDescent="0.2">
      <c r="E47" s="63"/>
      <c r="F47" s="63"/>
      <c r="G47" s="63"/>
      <c r="H47" s="63"/>
      <c r="I47" s="63"/>
      <c r="J47" s="63"/>
      <c r="K47" s="63"/>
    </row>
    <row r="48" spans="3:11" x14ac:dyDescent="0.2">
      <c r="E48" s="63"/>
      <c r="F48" s="63"/>
      <c r="G48" s="63"/>
      <c r="H48" s="63"/>
      <c r="I48" s="63"/>
      <c r="J48" s="63"/>
      <c r="K48" s="63"/>
    </row>
    <row r="49" spans="5:11" x14ac:dyDescent="0.2">
      <c r="E49" s="63"/>
      <c r="F49" s="63"/>
      <c r="G49" s="63"/>
      <c r="H49" s="63"/>
      <c r="I49" s="63"/>
      <c r="J49" s="63"/>
      <c r="K49" s="63"/>
    </row>
    <row r="50" spans="5:11" x14ac:dyDescent="0.2">
      <c r="E50" s="63"/>
      <c r="F50" s="63"/>
      <c r="G50" s="63"/>
      <c r="H50" s="63"/>
      <c r="I50" s="63"/>
      <c r="J50" s="63"/>
      <c r="K50" s="63"/>
    </row>
    <row r="51" spans="5:11" x14ac:dyDescent="0.2">
      <c r="E51" s="63"/>
      <c r="F51" s="63"/>
      <c r="G51" s="63"/>
      <c r="H51" s="63"/>
      <c r="I51" s="63"/>
      <c r="J51" s="63"/>
      <c r="K51" s="63"/>
    </row>
    <row r="52" spans="5:11" x14ac:dyDescent="0.2">
      <c r="E52" s="63"/>
      <c r="F52" s="63"/>
      <c r="G52" s="63"/>
      <c r="H52" s="63"/>
      <c r="I52" s="63"/>
      <c r="J52" s="63"/>
      <c r="K52" s="63"/>
    </row>
    <row r="53" spans="5:11" x14ac:dyDescent="0.2">
      <c r="E53" s="63"/>
      <c r="F53" s="63"/>
      <c r="G53" s="63"/>
      <c r="H53" s="63"/>
      <c r="I53" s="63"/>
      <c r="J53" s="63"/>
      <c r="K53" s="63"/>
    </row>
    <row r="54" spans="5:11" x14ac:dyDescent="0.2">
      <c r="E54" s="63"/>
      <c r="F54" s="63"/>
      <c r="G54" s="63"/>
      <c r="H54" s="63"/>
      <c r="I54" s="63"/>
      <c r="J54" s="63"/>
      <c r="K54" s="63"/>
    </row>
    <row r="55" spans="5:11" x14ac:dyDescent="0.2">
      <c r="E55" s="63"/>
      <c r="F55" s="63"/>
      <c r="G55" s="63"/>
      <c r="H55" s="63"/>
      <c r="I55" s="63"/>
      <c r="J55" s="63"/>
      <c r="K55" s="63"/>
    </row>
    <row r="56" spans="5:11" x14ac:dyDescent="0.2">
      <c r="E56" s="63"/>
      <c r="F56" s="63"/>
      <c r="G56" s="63"/>
      <c r="H56" s="63"/>
      <c r="I56" s="63"/>
      <c r="J56" s="63"/>
      <c r="K56" s="63"/>
    </row>
    <row r="57" spans="5:11" x14ac:dyDescent="0.2">
      <c r="E57" s="63"/>
      <c r="F57" s="63"/>
      <c r="G57" s="63"/>
      <c r="H57" s="63"/>
      <c r="I57" s="63"/>
      <c r="J57" s="63"/>
      <c r="K57" s="63"/>
    </row>
    <row r="58" spans="5:11" x14ac:dyDescent="0.2">
      <c r="E58" s="63"/>
      <c r="F58" s="63"/>
      <c r="G58" s="63"/>
      <c r="H58" s="63"/>
      <c r="I58" s="63"/>
      <c r="J58" s="63"/>
      <c r="K58" s="63"/>
    </row>
    <row r="59" spans="5:11" x14ac:dyDescent="0.2">
      <c r="E59" s="63"/>
      <c r="F59" s="63"/>
      <c r="G59" s="63"/>
      <c r="H59" s="63"/>
      <c r="I59" s="63"/>
      <c r="J59" s="63"/>
      <c r="K59" s="63"/>
    </row>
    <row r="60" spans="5:11" x14ac:dyDescent="0.2">
      <c r="E60" s="63"/>
      <c r="F60" s="63"/>
      <c r="G60" s="63"/>
      <c r="H60" s="63"/>
      <c r="I60" s="63"/>
      <c r="J60" s="63"/>
      <c r="K60" s="63"/>
    </row>
    <row r="61" spans="5:11" x14ac:dyDescent="0.2">
      <c r="E61" s="63"/>
      <c r="F61" s="63"/>
      <c r="G61" s="63"/>
      <c r="H61" s="63"/>
      <c r="I61" s="63"/>
      <c r="J61" s="63"/>
      <c r="K61" s="63"/>
    </row>
    <row r="62" spans="5:11" x14ac:dyDescent="0.2">
      <c r="E62" s="63"/>
      <c r="F62" s="63"/>
      <c r="G62" s="63"/>
      <c r="H62" s="63"/>
      <c r="I62" s="63"/>
      <c r="J62" s="63"/>
      <c r="K62" s="63"/>
    </row>
    <row r="63" spans="5:11" x14ac:dyDescent="0.2">
      <c r="E63" s="63"/>
      <c r="F63" s="63"/>
      <c r="G63" s="63"/>
      <c r="H63" s="63"/>
      <c r="I63" s="63"/>
      <c r="J63" s="63"/>
      <c r="K63" s="63"/>
    </row>
    <row r="64" spans="5:11" x14ac:dyDescent="0.2">
      <c r="E64" s="63"/>
      <c r="F64" s="63"/>
      <c r="G64" s="63"/>
      <c r="H64" s="63"/>
      <c r="I64" s="63"/>
      <c r="J64" s="63"/>
      <c r="K64" s="63"/>
    </row>
    <row r="65" spans="5:11" x14ac:dyDescent="0.2">
      <c r="E65" s="63"/>
      <c r="F65" s="63"/>
      <c r="G65" s="63"/>
      <c r="H65" s="63"/>
      <c r="I65" s="63"/>
      <c r="J65" s="63"/>
      <c r="K65" s="63"/>
    </row>
    <row r="66" spans="5:11" x14ac:dyDescent="0.2">
      <c r="E66" s="63"/>
      <c r="F66" s="63"/>
      <c r="G66" s="63"/>
      <c r="H66" s="63"/>
      <c r="I66" s="63"/>
      <c r="J66" s="63"/>
      <c r="K66" s="63"/>
    </row>
    <row r="67" spans="5:11" x14ac:dyDescent="0.2">
      <c r="E67" s="63"/>
      <c r="F67" s="63"/>
      <c r="G67" s="63"/>
      <c r="H67" s="63"/>
      <c r="I67" s="63"/>
      <c r="J67" s="63"/>
      <c r="K67" s="63"/>
    </row>
    <row r="68" spans="5:11" x14ac:dyDescent="0.2">
      <c r="E68" s="63"/>
      <c r="F68" s="63"/>
      <c r="G68" s="63"/>
      <c r="H68" s="63"/>
      <c r="I68" s="63"/>
      <c r="J68" s="63"/>
      <c r="K68" s="63"/>
    </row>
    <row r="69" spans="5:11" x14ac:dyDescent="0.2">
      <c r="E69" s="63"/>
      <c r="F69" s="63"/>
      <c r="G69" s="63"/>
      <c r="H69" s="63"/>
      <c r="I69" s="63"/>
      <c r="J69" s="63"/>
      <c r="K69" s="63"/>
    </row>
    <row r="70" spans="5:11" x14ac:dyDescent="0.2">
      <c r="E70" s="63"/>
      <c r="F70" s="63"/>
      <c r="G70" s="63"/>
      <c r="H70" s="63"/>
      <c r="I70" s="63"/>
      <c r="J70" s="63"/>
      <c r="K70" s="63"/>
    </row>
    <row r="71" spans="5:11" x14ac:dyDescent="0.2">
      <c r="E71" s="63"/>
      <c r="F71" s="63"/>
      <c r="G71" s="63"/>
      <c r="H71" s="63"/>
      <c r="I71" s="63"/>
      <c r="J71" s="63"/>
      <c r="K71" s="63"/>
    </row>
    <row r="72" spans="5:11" x14ac:dyDescent="0.2">
      <c r="E72" s="63"/>
      <c r="F72" s="63"/>
      <c r="G72" s="63"/>
      <c r="H72" s="63"/>
      <c r="I72" s="63"/>
      <c r="J72" s="63"/>
      <c r="K72" s="63"/>
    </row>
  </sheetData>
  <mergeCells count="2">
    <mergeCell ref="E46:K72"/>
    <mergeCell ref="A3:E3"/>
  </mergeCells>
  <conditionalFormatting sqref="F4">
    <cfRule type="cellIs" dxfId="7" priority="1" operator="notEqual">
      <formula>0</formula>
    </cfRule>
  </conditionalFormatting>
  <hyperlinks>
    <hyperlink ref="F4" location="Overall_Error_Check" tooltip="Go to Overall Error Check" display="Overall_Error_Check" xr:uid="{00000000-0004-0000-0600-000000000000}"/>
    <hyperlink ref="A3:E3" location="HL_Navigator" tooltip="Go to Navigator (Table of Contents)" display="Navigator" xr:uid="{00000000-0004-0000-0600-000001000000}"/>
    <hyperlink ref="A3" location="HL_Navigator" display="Navigator" xr:uid="{00000000-0004-0000-0600-000002000000}"/>
  </hyperlinks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9" ma:contentTypeDescription="Create a new document." ma:contentTypeScope="" ma:versionID="e67f3b247dd811f116325cb79bd32355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2e8ade43a7ea9a5ad03b9775330a245f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DC80C6C-387B-4015-BD84-F5D48BB29731}"/>
</file>

<file path=customXml/itemProps2.xml><?xml version="1.0" encoding="utf-8"?>
<ds:datastoreItem xmlns:ds="http://schemas.openxmlformats.org/officeDocument/2006/customXml" ds:itemID="{0A619791-D556-4F22-833E-9B506B249334}">
  <ds:schemaRefs>
    <ds:schemaRef ds:uri="http://schemas.microsoft.com/office/2006/metadata/properti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ff58d06b-05e3-4c65-85ba-22cd93c7683f"/>
    <ds:schemaRef ds:uri="http://www.w3.org/XML/1998/namespace"/>
    <ds:schemaRef ds:uri="ac914b5e-6dd4-4de9-b905-57df3d54023d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F4E4C38-BF52-4BF4-B7C4-8E4875C370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Cover</vt:lpstr>
      <vt:lpstr>Navigator</vt:lpstr>
      <vt:lpstr>Style Guide</vt:lpstr>
      <vt:lpstr>Model Parameters</vt:lpstr>
      <vt:lpstr>Timing</vt:lpstr>
      <vt:lpstr>Error Checks</vt:lpstr>
      <vt:lpstr>Bubble Pies</vt:lpstr>
      <vt:lpstr>Client_Name</vt:lpstr>
      <vt:lpstr>Days_in_Year</vt:lpstr>
      <vt:lpstr>Example_Reporting_Month</vt:lpstr>
      <vt:lpstr>HL_1</vt:lpstr>
      <vt:lpstr>HL_3</vt:lpstr>
      <vt:lpstr>HL_4</vt:lpstr>
      <vt:lpstr>HL_5</vt:lpstr>
      <vt:lpstr>HL_6</vt:lpstr>
      <vt:lpstr>HL_7</vt:lpstr>
      <vt:lpstr>HL_Model_Parameters</vt:lpstr>
      <vt:lpstr>HL_Navigator</vt:lpstr>
      <vt:lpstr>Model_Name</vt:lpstr>
      <vt:lpstr>Model_Start_Date</vt:lpstr>
      <vt:lpstr>Months_in_Half_Yr</vt:lpstr>
      <vt:lpstr>Months_in_Month</vt:lpstr>
      <vt:lpstr>Months_in_Qtr</vt:lpstr>
      <vt:lpstr>Months_in_Year</vt:lpstr>
      <vt:lpstr>Overall_Error_Check</vt:lpstr>
      <vt:lpstr>Periodicity</vt:lpstr>
      <vt:lpstr>Quarters_in_Year</vt:lpstr>
      <vt:lpstr>Reporting_Month_Factor</vt:lpstr>
      <vt:lpstr>Rounding_Accuracy</vt:lpstr>
      <vt:lpstr>Thousand</vt:lpstr>
      <vt:lpstr>Very_Large_Number</vt:lpstr>
      <vt:lpstr>Very_Small_Number</vt:lpstr>
    </vt:vector>
  </TitlesOfParts>
  <Company>SumProduct Pty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Liam</dc:creator>
  <cp:lastModifiedBy>Sam Ngo</cp:lastModifiedBy>
  <dcterms:created xsi:type="dcterms:W3CDTF">2012-10-20T20:39:47Z</dcterms:created>
  <dcterms:modified xsi:type="dcterms:W3CDTF">2025-10-17T01:10:47Z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